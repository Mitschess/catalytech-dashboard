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4" documentId="11_A68EED221EFCB4CEA60323DD1E4A3E0EE9F21125" xr6:coauthVersionLast="47" xr6:coauthVersionMax="47" xr10:uidLastSave="{DF8593A2-6CA2-49BA-9E24-E8161DE0F764}"/>
  <bookViews>
    <workbookView xWindow="0" yWindow="0" windowWidth="16384" windowHeight="8192" tabRatio="500" xr2:uid="{00000000-000D-0000-FFFF-FFFF00000000}"/>
  </bookViews>
  <sheets>
    <sheet name="Equipment Info" sheetId="1" r:id="rId1"/>
    <sheet name="Condition History" sheetId="2" r:id="rId2"/>
    <sheet name="Performance 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7" i="3"/>
  <c r="C6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13" i="3" l="1"/>
  <c r="B12" i="3"/>
  <c r="B11" i="3"/>
</calcChain>
</file>

<file path=xl/sharedStrings.xml><?xml version="1.0" encoding="utf-8"?>
<sst xmlns="http://schemas.openxmlformats.org/spreadsheetml/2006/main" count="105" uniqueCount="103">
  <si>
    <t>EQUIPMENT PERFORMANCE — CONDITION MONITORING RECORD</t>
  </si>
  <si>
    <t>NAMEPLATE / IDENTIFICATION</t>
  </si>
  <si>
    <t>MONITORED PARAMETERS &amp; LIMITS</t>
  </si>
  <si>
    <t>Equipment Tag</t>
  </si>
  <si>
    <t>BL-5702</t>
  </si>
  <si>
    <t>Parameter</t>
  </si>
  <si>
    <t>Alarm / Trip</t>
  </si>
  <si>
    <t>Equipment Name</t>
  </si>
  <si>
    <t>Product Blower BL-5702</t>
  </si>
  <si>
    <t>Overall Vibration (mm/s)</t>
  </si>
  <si>
    <t>7.0 / 11.0</t>
  </si>
  <si>
    <t>Equipment Type</t>
  </si>
  <si>
    <t>Centrifugal Blower</t>
  </si>
  <si>
    <t>2X Harmonic (mm/s)</t>
  </si>
  <si>
    <t>3.0 / 5.0</t>
  </si>
  <si>
    <t>Equipment Class</t>
  </si>
  <si>
    <t>A</t>
  </si>
  <si>
    <t>Coupling Offset (mm)</t>
  </si>
  <si>
    <t>0.05 / 0.3</t>
  </si>
  <si>
    <t>Plant / Unit</t>
  </si>
  <si>
    <t>Polymer Plant (OPP)</t>
  </si>
  <si>
    <t>Bearing Temp (°C)</t>
  </si>
  <si>
    <t>80 / 95</t>
  </si>
  <si>
    <t>Discipline</t>
  </si>
  <si>
    <t>ROT</t>
  </si>
  <si>
    <t>Criticality</t>
  </si>
  <si>
    <t>High</t>
  </si>
  <si>
    <t>Design Life</t>
  </si>
  <si>
    <t>5 years (bearing) / 24 months (seal element)</t>
  </si>
  <si>
    <t>Monitoring Method</t>
  </si>
  <si>
    <t>Online DCS + monthly vibration/thermography route</t>
  </si>
  <si>
    <t>Linked RCA / AR No.</t>
  </si>
  <si>
    <t>AR-2026-OPP-0203</t>
  </si>
  <si>
    <t>Failure Date</t>
  </si>
  <si>
    <t>17-Jun-2026</t>
  </si>
  <si>
    <t>Dominant Failure Mode</t>
  </si>
  <si>
    <t>High Vibration (Coupling Misalignment)</t>
  </si>
  <si>
    <t>Week</t>
  </si>
  <si>
    <t>Date</t>
  </si>
  <si>
    <t>Overall Vibration
(mm/s)</t>
  </si>
  <si>
    <t>2X Harmonic
(mm/s)</t>
  </si>
  <si>
    <t>Coupling Offset
(mm)</t>
  </si>
  <si>
    <t>Bearing Temp
(°C)</t>
  </si>
  <si>
    <t>Health Status</t>
  </si>
  <si>
    <t>Remark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</si>
  <si>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</si>
  <si>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</si>
  <si>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</si>
  <si>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</si>
  <si>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</si>
  <si>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</si>
  <si>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</si>
  <si>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</si>
  <si>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</si>
  <si>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</si>
  <si>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</si>
  <si>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</si>
  <si>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</si>
  <si>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</si>
  <si>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</si>
  <si>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</si>
  <si>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</si>
  <si>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</si>
  <si>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Degradation trend — under close monitoring</t>
  </si>
  <si>
    <t>2026-06-03</t>
  </si>
  <si>
    <t>2026-06-10</t>
  </si>
  <si>
    <t>2026-06-17</t>
  </si>
  <si>
    <t>FAILURE — High Vibration (Coupling Misalignment); unplanned downtime 14.0 h</t>
  </si>
  <si>
    <t>2026-06-24</t>
  </si>
  <si>
    <t>Post-repair baseline restored (CAPA executed)</t>
  </si>
  <si>
    <t>2026-07-01</t>
  </si>
  <si>
    <t>2026-07-08</t>
  </si>
  <si>
    <t>2026-07-15</t>
  </si>
  <si>
    <t>2026-07-22</t>
  </si>
  <si>
    <t>PERFORMANCE SUMMARY — BL-5702</t>
  </si>
  <si>
    <t>KPI</t>
  </si>
  <si>
    <t>Value</t>
  </si>
  <si>
    <t>Basis / Formula</t>
  </si>
  <si>
    <t>Monitoring Period (weeks)</t>
  </si>
  <si>
    <t>Number of weekly readings</t>
  </si>
  <si>
    <t>Total Downtime (hours)</t>
  </si>
  <si>
    <t>From linked RCA downtime window</t>
  </si>
  <si>
    <t>Period Hours</t>
  </si>
  <si>
    <t>Availability (%)</t>
  </si>
  <si>
    <t>(Period-Downtime)/Period</t>
  </si>
  <si>
    <t>No. of Failures (period)</t>
  </si>
  <si>
    <t>Failure events this period</t>
  </si>
  <si>
    <t>MTBF (hours)</t>
  </si>
  <si>
    <t>Period Hours / No. of Failures</t>
  </si>
  <si>
    <t>MTTR (hours)</t>
  </si>
  <si>
    <t>Mean time to repair</t>
  </si>
  <si>
    <t>ALARM readings</t>
  </si>
  <si>
    <t>Count of ALARM weeks</t>
  </si>
  <si>
    <t>TRIP readings</t>
  </si>
  <si>
    <t>Count of TRIP weeks</t>
  </si>
  <si>
    <t>NORMAL readings</t>
  </si>
  <si>
    <t>Count of NORMAL weeks</t>
  </si>
  <si>
    <t>PM Compliance (%)</t>
  </si>
  <si>
    <t>PM completed vs scheduled</t>
  </si>
  <si>
    <t>Production Loss (ton)</t>
  </si>
  <si>
    <t>Downtime x rate loss (from RCA)</t>
  </si>
  <si>
    <t>Estimated Loss (k USD)</t>
  </si>
  <si>
    <t>Production loss x 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</si>
</sst>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Normal="100" workbookViewId="0">
      <selection activeCell="B9" sqref="B9"/>
    </sheetView>
  </sheetViews>
  <sheetFormatPr defaultColWidth="8.7109375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>
      <c r="A4" s="1" t="s">
        <v>3</v>
      </c>
      <c r="B4" s="2" t="s">
        <v>4</v>
      </c>
      <c r="C4" s="1" t="s">
        <v>5</v>
      </c>
      <c r="D4" s="1" t="s">
        <v>6</v>
      </c>
    </row>
    <row r="5" spans="1:4">
      <c r="A5" s="1" t="s">
        <v>7</v>
      </c>
      <c r="B5" s="2" t="s">
        <v>8</v>
      </c>
      <c r="C5" s="2" t="s">
        <v>9</v>
      </c>
      <c r="D5" s="3" t="s">
        <v>10</v>
      </c>
    </row>
    <row r="6" spans="1:4">
      <c r="A6" s="1" t="s">
        <v>11</v>
      </c>
      <c r="B6" s="2" t="s">
        <v>12</v>
      </c>
      <c r="C6" s="2" t="s">
        <v>13</v>
      </c>
      <c r="D6" s="3" t="s">
        <v>14</v>
      </c>
    </row>
    <row r="7" spans="1:4">
      <c r="A7" s="1" t="s">
        <v>15</v>
      </c>
      <c r="B7" s="2" t="s">
        <v>16</v>
      </c>
      <c r="C7" s="2" t="s">
        <v>17</v>
      </c>
      <c r="D7" s="3" t="s">
        <v>18</v>
      </c>
    </row>
    <row r="8" spans="1:4">
      <c r="A8" s="1" t="s">
        <v>19</v>
      </c>
      <c r="B8" s="2" t="s">
        <v>20</v>
      </c>
      <c r="C8" s="2" t="s">
        <v>21</v>
      </c>
      <c r="D8" s="3" t="s">
        <v>22</v>
      </c>
    </row>
    <row r="9" spans="1:4">
      <c r="A9" s="1" t="s">
        <v>23</v>
      </c>
      <c r="B9" s="2" t="s">
        <v>24</v>
      </c>
    </row>
    <row r="10" spans="1:4">
      <c r="A10" s="1" t="s">
        <v>25</v>
      </c>
      <c r="B10" s="2" t="s">
        <v>26</v>
      </c>
    </row>
    <row r="11" spans="1:4" ht="23.85">
      <c r="A11" s="1" t="s">
        <v>27</v>
      </c>
      <c r="B11" s="2" t="s">
        <v>28</v>
      </c>
    </row>
    <row r="12" spans="1:4" ht="23.85">
      <c r="A12" s="1" t="s">
        <v>29</v>
      </c>
      <c r="B12" s="2" t="s">
        <v>30</v>
      </c>
    </row>
    <row r="13" spans="1:4">
      <c r="A13" s="1" t="s">
        <v>31</v>
      </c>
      <c r="B13" s="2" t="s">
        <v>32</v>
      </c>
    </row>
    <row r="14" spans="1:4">
      <c r="A14" s="1" t="s">
        <v>33</v>
      </c>
      <c r="B14" s="2" t="s">
        <v>34</v>
      </c>
    </row>
    <row r="15" spans="1:4" ht="23.85">
      <c r="A15" s="1" t="s">
        <v>35</v>
      </c>
      <c r="B15" s="2" t="s">
        <v>36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>
      <c r="A2" s="3">
        <v>1</v>
      </c>
      <c r="B2" s="3" t="s">
        <v>45</v>
      </c>
      <c r="C2" s="3">
        <v>4.0039999999999996</v>
      </c>
      <c r="D2" s="3">
        <v>1.143</v>
      </c>
      <c r="E2" s="3">
        <v>2.5000000000000001E-2</v>
      </c>
      <c r="F2" s="3">
        <v>60.72</v>
      </c>
      <c r="G2" s="3" t="str">
        <f>IF(OR(C2&gt;=11,D2&gt;=5,E2&gt;=0.3,F2&gt;=95),"TRIP",IF(OR(C2&gt;=7,D2&gt;=3,E2&gt;=0.05,F2&gt;=80),"ALARM","NORMAL"))</f>
        <v>NORMAL</v>
      </c>
      <c r="H2" s="2"/>
    </row>
    <row r="3" spans="1:8">
      <c r="A3" s="3">
        <v>2</v>
      </c>
      <c r="B3" s="3" t="s">
        <v>46</v>
      </c>
      <c r="C3" s="3">
        <v>4.1879999999999997</v>
      </c>
      <c r="D3" s="3">
        <v>1.2869999999999999</v>
      </c>
      <c r="E3" s="3">
        <v>3.4000000000000002E-2</v>
      </c>
      <c r="F3" s="3">
        <v>59.210999999999999</v>
      </c>
      <c r="G3" s="3" t="str">
        <f>IF(OR(C3&gt;=11,D3&gt;=5,E3&gt;=0.3,F3&gt;=95),"TRIP",IF(OR(C3&gt;=7,D3&gt;=3,E3&gt;=0.05,F3&gt;=80),"ALARM","NORMAL"))</f>
        <v>NORMAL</v>
      </c>
      <c r="H3" s="2"/>
    </row>
    <row r="4" spans="1:8">
      <c r="A4" s="3">
        <v>3</v>
      </c>
      <c r="B4" s="3" t="s">
        <v>47</v>
      </c>
      <c r="C4" s="3">
        <v>4.0910000000000002</v>
      </c>
      <c r="D4" s="3">
        <v>1.2929999999999999</v>
      </c>
      <c r="E4" s="3">
        <v>3.6999999999999998E-2</v>
      </c>
      <c r="F4" s="3">
        <v>60.73</v>
      </c>
      <c r="G4" s="3" t="str">
        <f>IF(OR(C4&gt;=11,D4&gt;=5,E4&gt;=0.3,F4&gt;=95),"TRIP",IF(OR(C4&gt;=7,D4&gt;=3,E4&gt;=0.05,F4&gt;=80),"ALARM","NORMAL"))</f>
        <v>NORMAL</v>
      </c>
      <c r="H4" s="2"/>
    </row>
    <row r="5" spans="1:8">
      <c r="A5" s="3">
        <v>4</v>
      </c>
      <c r="B5" s="3" t="s">
        <v>48</v>
      </c>
      <c r="C5" s="3">
        <v>4.2649999999999997</v>
      </c>
      <c r="D5" s="3">
        <v>1.37</v>
      </c>
      <c r="E5" s="3">
        <v>3.4000000000000002E-2</v>
      </c>
      <c r="F5" s="3">
        <v>61.953000000000003</v>
      </c>
      <c r="G5" s="3" t="str">
        <f>IF(OR(C5&gt;=11,D5&gt;=5,E5&gt;=0.3,F5&gt;=95),"TRIP",IF(OR(C5&gt;=7,D5&gt;=3,E5&gt;=0.05,F5&gt;=80),"ALARM","NORMAL"))</f>
        <v>NORMAL</v>
      </c>
      <c r="H5" s="2"/>
    </row>
    <row r="6" spans="1:8">
      <c r="A6" s="3">
        <v>5</v>
      </c>
      <c r="B6" s="3" t="s">
        <v>49</v>
      </c>
      <c r="C6" s="3">
        <v>4.2679999999999998</v>
      </c>
      <c r="D6" s="3">
        <v>1.3109999999999999</v>
      </c>
      <c r="E6" s="3">
        <v>3.5999999999999997E-2</v>
      </c>
      <c r="F6" s="3">
        <v>60.442</v>
      </c>
      <c r="G6" s="3" t="str">
        <f>IF(OR(C6&gt;=11,D6&gt;=5,E6&gt;=0.3,F6&gt;=95),"TRIP",IF(OR(C6&gt;=7,D6&gt;=3,E6&gt;=0.05,F6&gt;=80),"ALARM","NORMAL"))</f>
        <v>NORMAL</v>
      </c>
      <c r="H6" s="2"/>
    </row>
    <row r="7" spans="1:8">
      <c r="A7" s="3">
        <v>6</v>
      </c>
      <c r="B7" s="3" t="s">
        <v>50</v>
      </c>
      <c r="C7" s="3">
        <v>4.4349999999999996</v>
      </c>
      <c r="D7" s="3">
        <v>1.47</v>
      </c>
      <c r="E7" s="3">
        <v>5.0999999999999997E-2</v>
      </c>
      <c r="F7" s="3">
        <v>60.923000000000002</v>
      </c>
      <c r="G7" s="3" t="str">
        <f>IF(OR(C7&gt;=11,D7&gt;=5,E7&gt;=0.3,F7&gt;=95),"TRIP",IF(OR(C7&gt;=7,D7&gt;=3,E7&gt;=0.05,F7&gt;=80),"ALARM","NORMAL"))</f>
        <v>ALARM</v>
      </c>
      <c r="H7" s="2"/>
    </row>
    <row r="8" spans="1:8">
      <c r="A8" s="3">
        <v>7</v>
      </c>
      <c r="B8" s="3" t="s">
        <v>51</v>
      </c>
      <c r="C8" s="3">
        <v>4.4429999999999996</v>
      </c>
      <c r="D8" s="3">
        <v>1.694</v>
      </c>
      <c r="E8" s="3">
        <v>5.3999999999999999E-2</v>
      </c>
      <c r="F8" s="3">
        <v>62.389000000000003</v>
      </c>
      <c r="G8" s="3" t="str">
        <f>IF(OR(C8&gt;=11,D8&gt;=5,E8&gt;=0.3,F8&gt;=95),"TRIP",IF(OR(C8&gt;=7,D8&gt;=3,E8&gt;=0.05,F8&gt;=80),"ALARM","NORMAL"))</f>
        <v>ALARM</v>
      </c>
      <c r="H8" s="2"/>
    </row>
    <row r="9" spans="1:8">
      <c r="A9" s="3">
        <v>8</v>
      </c>
      <c r="B9" s="3" t="s">
        <v>52</v>
      </c>
      <c r="C9" s="3">
        <v>4.8920000000000003</v>
      </c>
      <c r="D9" s="3">
        <v>1.6459999999999999</v>
      </c>
      <c r="E9" s="3">
        <v>5.3999999999999999E-2</v>
      </c>
      <c r="F9" s="3">
        <v>62.862000000000002</v>
      </c>
      <c r="G9" s="3" t="str">
        <f>IF(OR(C9&gt;=11,D9&gt;=5,E9&gt;=0.3,F9&gt;=95),"TRIP",IF(OR(C9&gt;=7,D9&gt;=3,E9&gt;=0.05,F9&gt;=80),"ALARM","NORMAL"))</f>
        <v>ALARM</v>
      </c>
      <c r="H9" s="2"/>
    </row>
    <row r="10" spans="1:8">
      <c r="A10" s="3">
        <v>9</v>
      </c>
      <c r="B10" s="3" t="s">
        <v>53</v>
      </c>
      <c r="C10" s="3">
        <v>4.5810000000000004</v>
      </c>
      <c r="D10" s="3">
        <v>1.7629999999999999</v>
      </c>
      <c r="E10" s="3">
        <v>6.9000000000000006E-2</v>
      </c>
      <c r="F10" s="3">
        <v>66.274000000000001</v>
      </c>
      <c r="G10" s="3" t="str">
        <f>IF(OR(C10&gt;=11,D10&gt;=5,E10&gt;=0.3,F10&gt;=95),"TRIP",IF(OR(C10&gt;=7,D10&gt;=3,E10&gt;=0.05,F10&gt;=80),"ALARM","NORMAL"))</f>
        <v>ALARM</v>
      </c>
      <c r="H10" s="2"/>
    </row>
    <row r="11" spans="1:8">
      <c r="A11" s="3">
        <v>10</v>
      </c>
      <c r="B11" s="3" t="s">
        <v>54</v>
      </c>
      <c r="C11" s="3">
        <v>5.2949999999999999</v>
      </c>
      <c r="D11" s="3">
        <v>2.0219999999999998</v>
      </c>
      <c r="E11" s="3">
        <v>8.5000000000000006E-2</v>
      </c>
      <c r="F11" s="3">
        <v>66.864000000000004</v>
      </c>
      <c r="G11" s="3" t="str">
        <f>IF(OR(C11&gt;=11,D11&gt;=5,E11&gt;=0.3,F11&gt;=95),"TRIP",IF(OR(C11&gt;=7,D11&gt;=3,E11&gt;=0.05,F11&gt;=80),"ALARM","NORMAL"))</f>
        <v>ALARM</v>
      </c>
      <c r="H11" s="2"/>
    </row>
    <row r="12" spans="1:8">
      <c r="A12" s="3">
        <v>11</v>
      </c>
      <c r="B12" s="3" t="s">
        <v>55</v>
      </c>
      <c r="C12" s="3">
        <v>5.6360000000000001</v>
      </c>
      <c r="D12" s="3">
        <v>2.1949999999999998</v>
      </c>
      <c r="E12" s="3">
        <v>9.1999999999999998E-2</v>
      </c>
      <c r="F12" s="3">
        <v>68.063000000000002</v>
      </c>
      <c r="G12" s="3" t="str">
        <f>IF(OR(C12&gt;=11,D12&gt;=5,E12&gt;=0.3,F12&gt;=95),"TRIP",IF(OR(C12&gt;=7,D12&gt;=3,E12&gt;=0.05,F12&gt;=80),"ALARM","NORMAL"))</f>
        <v>ALARM</v>
      </c>
      <c r="H12" s="2"/>
    </row>
    <row r="13" spans="1:8">
      <c r="A13" s="3">
        <v>12</v>
      </c>
      <c r="B13" s="3" t="s">
        <v>56</v>
      </c>
      <c r="C13" s="3">
        <v>6.0030000000000001</v>
      </c>
      <c r="D13" s="3">
        <v>2.2469999999999999</v>
      </c>
      <c r="E13" s="3">
        <v>0.125</v>
      </c>
      <c r="F13" s="3">
        <v>69.332999999999998</v>
      </c>
      <c r="G13" s="3" t="str">
        <f>IF(OR(C13&gt;=11,D13&gt;=5,E13&gt;=0.3,F13&gt;=95),"TRIP",IF(OR(C13&gt;=7,D13&gt;=3,E13&gt;=0.05,F13&gt;=80),"ALARM","NORMAL"))</f>
        <v>ALARM</v>
      </c>
      <c r="H13" s="2"/>
    </row>
    <row r="14" spans="1:8">
      <c r="A14" s="3">
        <v>13</v>
      </c>
      <c r="B14" s="3" t="s">
        <v>57</v>
      </c>
      <c r="C14" s="3">
        <v>6.6669999999999998</v>
      </c>
      <c r="D14" s="3">
        <v>2.605</v>
      </c>
      <c r="E14" s="3">
        <v>0.122</v>
      </c>
      <c r="F14" s="3">
        <v>73.117999999999995</v>
      </c>
      <c r="G14" s="3" t="str">
        <f>IF(OR(C14&gt;=11,D14&gt;=5,E14&gt;=0.3,F14&gt;=95),"TRIP",IF(OR(C14&gt;=7,D14&gt;=3,E14&gt;=0.05,F14&gt;=80),"ALARM","NORMAL"))</f>
        <v>ALARM</v>
      </c>
      <c r="H14" s="2"/>
    </row>
    <row r="15" spans="1:8">
      <c r="A15" s="3">
        <v>14</v>
      </c>
      <c r="B15" s="3" t="s">
        <v>58</v>
      </c>
      <c r="C15" s="3">
        <v>6.7859999999999996</v>
      </c>
      <c r="D15" s="3">
        <v>2.871</v>
      </c>
      <c r="E15" s="3">
        <v>0.14299999999999999</v>
      </c>
      <c r="F15" s="3">
        <v>74.414000000000001</v>
      </c>
      <c r="G15" s="3" t="str">
        <f>IF(OR(C15&gt;=11,D15&gt;=5,E15&gt;=0.3,F15&gt;=95),"TRIP",IF(OR(C15&gt;=7,D15&gt;=3,E15&gt;=0.05,F15&gt;=80),"ALARM","NORMAL"))</f>
        <v>ALARM</v>
      </c>
      <c r="H15" s="2"/>
    </row>
    <row r="16" spans="1:8">
      <c r="A16" s="3">
        <v>15</v>
      </c>
      <c r="B16" s="3" t="s">
        <v>59</v>
      </c>
      <c r="C16" s="3">
        <v>7.4249999999999998</v>
      </c>
      <c r="D16" s="3">
        <v>2.96</v>
      </c>
      <c r="E16" s="3">
        <v>0.16300000000000001</v>
      </c>
      <c r="F16" s="3">
        <v>77.137</v>
      </c>
      <c r="G16" s="3" t="str">
        <f>IF(OR(C16&gt;=11,D16&gt;=5,E16&gt;=0.3,F16&gt;=95),"TRIP",IF(OR(C16&gt;=7,D16&gt;=3,E16&gt;=0.05,F16&gt;=80),"ALARM","NORMAL"))</f>
        <v>ALARM</v>
      </c>
      <c r="H16" s="2"/>
    </row>
    <row r="17" spans="1:8">
      <c r="A17" s="3">
        <v>16</v>
      </c>
      <c r="B17" s="3" t="s">
        <v>60</v>
      </c>
      <c r="C17" s="3">
        <v>7.976</v>
      </c>
      <c r="D17" s="3">
        <v>3.206</v>
      </c>
      <c r="E17" s="3">
        <v>0.183</v>
      </c>
      <c r="F17" s="3">
        <v>79.822000000000003</v>
      </c>
      <c r="G17" s="3" t="str">
        <f>IF(OR(C17&gt;=11,D17&gt;=5,E17&gt;=0.3,F17&gt;=95),"TRIP",IF(OR(C17&gt;=7,D17&gt;=3,E17&gt;=0.05,F17&gt;=80),"ALARM","NORMAL"))</f>
        <v>ALARM</v>
      </c>
      <c r="H17" s="2"/>
    </row>
    <row r="18" spans="1:8">
      <c r="A18" s="3">
        <v>17</v>
      </c>
      <c r="B18" s="3" t="s">
        <v>61</v>
      </c>
      <c r="C18" s="3">
        <v>8.5820000000000007</v>
      </c>
      <c r="D18" s="3">
        <v>3.5790000000000002</v>
      </c>
      <c r="E18" s="3">
        <v>0.19700000000000001</v>
      </c>
      <c r="F18" s="3">
        <v>83.58</v>
      </c>
      <c r="G18" s="3" t="str">
        <f>IF(OR(C18&gt;=11,D18&gt;=5,E18&gt;=0.3,F18&gt;=95),"TRIP",IF(OR(C18&gt;=7,D18&gt;=3,E18&gt;=0.05,F18&gt;=80),"ALARM","NORMAL"))</f>
        <v>ALARM</v>
      </c>
      <c r="H18" s="2"/>
    </row>
    <row r="19" spans="1:8">
      <c r="A19" s="3">
        <v>18</v>
      </c>
      <c r="B19" s="3" t="s">
        <v>62</v>
      </c>
      <c r="C19" s="3">
        <v>9.1199999999999992</v>
      </c>
      <c r="D19" s="3">
        <v>3.9510000000000001</v>
      </c>
      <c r="E19" s="3">
        <v>0.222</v>
      </c>
      <c r="F19" s="3">
        <v>84.866</v>
      </c>
      <c r="G19" s="3" t="str">
        <f>IF(OR(C19&gt;=11,D19&gt;=5,E19&gt;=0.3,F19&gt;=95),"TRIP",IF(OR(C19&gt;=7,D19&gt;=3,E19&gt;=0.05,F19&gt;=80),"ALARM","NORMAL"))</f>
        <v>ALARM</v>
      </c>
      <c r="H19" s="2" t="s">
        <v>63</v>
      </c>
    </row>
    <row r="20" spans="1:8">
      <c r="A20" s="3">
        <v>19</v>
      </c>
      <c r="B20" s="3" t="s">
        <v>64</v>
      </c>
      <c r="C20" s="3">
        <v>9.7110000000000003</v>
      </c>
      <c r="D20" s="3">
        <v>4.282</v>
      </c>
      <c r="E20" s="3">
        <v>0.25</v>
      </c>
      <c r="F20" s="3">
        <v>89.162999999999997</v>
      </c>
      <c r="G20" s="3" t="str">
        <f>IF(OR(C20&gt;=11,D20&gt;=5,E20&gt;=0.3,F20&gt;=95),"TRIP",IF(OR(C20&gt;=7,D20&gt;=3,E20&gt;=0.05,F20&gt;=80),"ALARM","NORMAL"))</f>
        <v>ALARM</v>
      </c>
      <c r="H20" s="2" t="s">
        <v>63</v>
      </c>
    </row>
    <row r="21" spans="1:8">
      <c r="A21" s="3">
        <v>20</v>
      </c>
      <c r="B21" s="3" t="s">
        <v>65</v>
      </c>
      <c r="C21" s="3">
        <v>10.375999999999999</v>
      </c>
      <c r="D21" s="3">
        <v>4.6710000000000003</v>
      </c>
      <c r="E21" s="3">
        <v>0.27700000000000002</v>
      </c>
      <c r="F21" s="3">
        <v>92.41</v>
      </c>
      <c r="G21" s="3" t="str">
        <f>IF(OR(C21&gt;=11,D21&gt;=5,E21&gt;=0.3,F21&gt;=95),"TRIP",IF(OR(C21&gt;=7,D21&gt;=3,E21&gt;=0.05,F21&gt;=80),"ALARM","NORMAL"))</f>
        <v>ALARM</v>
      </c>
      <c r="H21" s="2" t="s">
        <v>63</v>
      </c>
    </row>
    <row r="22" spans="1:8" ht="23.85">
      <c r="A22" s="3">
        <v>21</v>
      </c>
      <c r="B22" s="3" t="s">
        <v>66</v>
      </c>
      <c r="C22" s="3">
        <v>11.22</v>
      </c>
      <c r="D22" s="3">
        <v>5.0999999999999996</v>
      </c>
      <c r="E22" s="3">
        <v>0.30599999999999999</v>
      </c>
      <c r="F22" s="3">
        <v>96.9</v>
      </c>
      <c r="G22" s="3" t="str">
        <f>IF(OR(C22&gt;=11,D22&gt;=5,E22&gt;=0.3,F22&gt;=95),"TRIP",IF(OR(C22&gt;=7,D22&gt;=3,E22&gt;=0.05,F22&gt;=80),"ALARM","NORMAL"))</f>
        <v>TRIP</v>
      </c>
      <c r="H22" s="2" t="s">
        <v>67</v>
      </c>
    </row>
    <row r="23" spans="1:8">
      <c r="A23" s="3">
        <v>22</v>
      </c>
      <c r="B23" s="3" t="s">
        <v>68</v>
      </c>
      <c r="C23" s="3">
        <v>3.782</v>
      </c>
      <c r="D23" s="3">
        <v>1.2430000000000001</v>
      </c>
      <c r="E23" s="3">
        <v>0.03</v>
      </c>
      <c r="F23" s="3">
        <v>60.743000000000002</v>
      </c>
      <c r="G23" s="3" t="str">
        <f>IF(OR(C23&gt;=11,D23&gt;=5,E23&gt;=0.3,F23&gt;=95),"TRIP",IF(OR(C23&gt;=7,D23&gt;=3,E23&gt;=0.05,F23&gt;=80),"ALARM","NORMAL"))</f>
        <v>NORMAL</v>
      </c>
      <c r="H23" s="2" t="s">
        <v>69</v>
      </c>
    </row>
    <row r="24" spans="1:8">
      <c r="A24" s="3">
        <v>23</v>
      </c>
      <c r="B24" s="3" t="s">
        <v>70</v>
      </c>
      <c r="C24" s="3">
        <v>3.76</v>
      </c>
      <c r="D24" s="3">
        <v>1.2549999999999999</v>
      </c>
      <c r="E24" s="3">
        <v>2.3E-2</v>
      </c>
      <c r="F24" s="3">
        <v>57.351999999999997</v>
      </c>
      <c r="G24" s="3" t="str">
        <f>IF(OR(C24&gt;=11,D24&gt;=5,E24&gt;=0.3,F24&gt;=95),"TRIP",IF(OR(C24&gt;=7,D24&gt;=3,E24&gt;=0.05,F24&gt;=80),"ALARM","NORMAL"))</f>
        <v>NORMAL</v>
      </c>
      <c r="H24" s="2"/>
    </row>
    <row r="25" spans="1:8">
      <c r="A25" s="3">
        <v>24</v>
      </c>
      <c r="B25" s="3" t="s">
        <v>71</v>
      </c>
      <c r="C25" s="3">
        <v>3.9180000000000001</v>
      </c>
      <c r="D25" s="3">
        <v>1.198</v>
      </c>
      <c r="E25" s="3">
        <v>3.1E-2</v>
      </c>
      <c r="F25" s="3">
        <v>59.183</v>
      </c>
      <c r="G25" s="3" t="str">
        <f>IF(OR(C25&gt;=11,D25&gt;=5,E25&gt;=0.3,F25&gt;=95),"TRIP",IF(OR(C25&gt;=7,D25&gt;=3,E25&gt;=0.05,F25&gt;=80),"ALARM","NORMAL"))</f>
        <v>NORMAL</v>
      </c>
      <c r="H25" s="2"/>
    </row>
    <row r="26" spans="1:8">
      <c r="A26" s="3">
        <v>25</v>
      </c>
      <c r="B26" s="3" t="s">
        <v>72</v>
      </c>
      <c r="C26" s="3">
        <v>3.9260000000000002</v>
      </c>
      <c r="D26" s="3">
        <v>1.1579999999999999</v>
      </c>
      <c r="E26" s="3">
        <v>2.1000000000000001E-2</v>
      </c>
      <c r="F26" s="3">
        <v>60.509</v>
      </c>
      <c r="G26" s="3" t="str">
        <f>IF(OR(C26&gt;=11,D26&gt;=5,E26&gt;=0.3,F26&gt;=95),"TRIP",IF(OR(C26&gt;=7,D26&gt;=3,E26&gt;=0.05,F26&gt;=80),"ALARM","NORMAL"))</f>
        <v>NORMAL</v>
      </c>
      <c r="H26" s="2"/>
    </row>
    <row r="27" spans="1:8">
      <c r="A27" s="3">
        <v>26</v>
      </c>
      <c r="B27" s="3" t="s">
        <v>73</v>
      </c>
      <c r="C27" s="3">
        <v>4.0010000000000003</v>
      </c>
      <c r="D27" s="3">
        <v>1.155</v>
      </c>
      <c r="E27" s="3">
        <v>1E-3</v>
      </c>
      <c r="F27" s="3">
        <v>60.783000000000001</v>
      </c>
      <c r="G27" s="3" t="str">
        <f>IF(OR(C27&gt;=11,D27&gt;=5,E27&gt;=0.3,F27&gt;=95),"TRIP",IF(OR(C27&gt;=7,D27&gt;=3,E27&gt;=0.05,F27&gt;=80),"ALARM","NORMAL"))</f>
        <v>NORMAL</v>
      </c>
      <c r="H27" s="2"/>
    </row>
  </sheetData>
  <conditionalFormatting sqref="G2:G27">
    <cfRule type="cellIs" dxfId="2" priority="2" operator="equal">
      <formula>"TRIP"</formula>
    </cfRule>
    <cfRule type="cellIs" dxfId="1" priority="3" operator="equal">
      <formula>"ALARM"</formula>
    </cfRule>
    <cfRule type="cellIs" dxfId="0" priority="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/>
  </sheetViews>
  <sheetFormatPr defaultColWidth="8.7109375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74</v>
      </c>
      <c r="B1" s="9"/>
      <c r="C1" s="9"/>
    </row>
    <row r="3" spans="1:3">
      <c r="A3" s="4" t="s">
        <v>75</v>
      </c>
      <c r="B3" s="4" t="s">
        <v>76</v>
      </c>
      <c r="C3" s="4" t="s">
        <v>77</v>
      </c>
    </row>
    <row r="4" spans="1:3">
      <c r="A4" s="1" t="s">
        <v>78</v>
      </c>
      <c r="B4" s="3">
        <v>26</v>
      </c>
      <c r="C4" s="5" t="s">
        <v>79</v>
      </c>
    </row>
    <row r="5" spans="1:3">
      <c r="A5" s="1" t="s">
        <v>80</v>
      </c>
      <c r="B5" s="3">
        <v>14</v>
      </c>
      <c r="C5" s="5" t="s">
        <v>81</v>
      </c>
    </row>
    <row r="6" spans="1:3">
      <c r="A6" s="1" t="s">
        <v>82</v>
      </c>
      <c r="B6" s="3">
        <v>4368</v>
      </c>
      <c r="C6" s="5">
        <f>26*7*24</f>
        <v>4368</v>
      </c>
    </row>
    <row r="7" spans="1:3">
      <c r="A7" s="1" t="s">
        <v>83</v>
      </c>
      <c r="B7" s="6">
        <f>(1-14/4368)*100</f>
        <v>99.679487179487182</v>
      </c>
      <c r="C7" s="5" t="s">
        <v>84</v>
      </c>
    </row>
    <row r="8" spans="1:3">
      <c r="A8" s="1" t="s">
        <v>85</v>
      </c>
      <c r="B8" s="3">
        <v>1</v>
      </c>
      <c r="C8" s="5" t="s">
        <v>86</v>
      </c>
    </row>
    <row r="9" spans="1:3">
      <c r="A9" s="1" t="s">
        <v>87</v>
      </c>
      <c r="B9" s="3">
        <f>4368/1</f>
        <v>4368</v>
      </c>
      <c r="C9" s="5" t="s">
        <v>88</v>
      </c>
    </row>
    <row r="10" spans="1:3">
      <c r="A10" s="1" t="s">
        <v>89</v>
      </c>
      <c r="B10" s="3">
        <v>14</v>
      </c>
      <c r="C10" s="5" t="s">
        <v>90</v>
      </c>
    </row>
    <row r="11" spans="1:3">
      <c r="A11" s="1" t="s">
        <v>91</v>
      </c>
      <c r="B11" s="3">
        <f>COUNTIF('Condition History'!G2:G27,"ALARM")</f>
        <v>15</v>
      </c>
      <c r="C11" s="5" t="s">
        <v>92</v>
      </c>
    </row>
    <row r="12" spans="1:3">
      <c r="A12" s="1" t="s">
        <v>93</v>
      </c>
      <c r="B12" s="3">
        <f>COUNTIF('Condition History'!G2:G27,"TRIP")</f>
        <v>1</v>
      </c>
      <c r="C12" s="5" t="s">
        <v>94</v>
      </c>
    </row>
    <row r="13" spans="1:3">
      <c r="A13" s="1" t="s">
        <v>95</v>
      </c>
      <c r="B13" s="3">
        <f>COUNTIF('Condition History'!G2:G27,"NORMAL")</f>
        <v>10</v>
      </c>
      <c r="C13" s="5" t="s">
        <v>96</v>
      </c>
    </row>
    <row r="14" spans="1:3">
      <c r="A14" s="1" t="s">
        <v>97</v>
      </c>
      <c r="B14" s="6">
        <v>92</v>
      </c>
      <c r="C14" s="5" t="s">
        <v>98</v>
      </c>
    </row>
    <row r="15" spans="1:3">
      <c r="A15" s="1" t="s">
        <v>99</v>
      </c>
      <c r="B15" s="3">
        <v>532</v>
      </c>
      <c r="C15" s="5" t="s">
        <v>100</v>
      </c>
    </row>
    <row r="16" spans="1:3">
      <c r="A16" s="1" t="s">
        <v>101</v>
      </c>
      <c r="B16" s="3">
        <v>478.8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C0DB61-5794-480D-BB8F-70A1BEC9D036}"/>
</file>

<file path=customXml/itemProps2.xml><?xml version="1.0" encoding="utf-8"?>
<ds:datastoreItem xmlns:ds="http://schemas.openxmlformats.org/officeDocument/2006/customXml" ds:itemID="{A60A4470-A1D9-4FE7-9F51-159BC03156AF}"/>
</file>

<file path=customXml/itemProps3.xml><?xml version="1.0" encoding="utf-8"?>
<ds:datastoreItem xmlns:ds="http://schemas.openxmlformats.org/officeDocument/2006/customXml" ds:itemID="{5DA12068-E9CE-4746-8699-6AFEF4C13B31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Alif Agung Priambodo - RAI</cp:lastModifiedBy>
  <cp:revision>0</cp:revision>
  <dcterms:created xsi:type="dcterms:W3CDTF">2026-07-30T08:48:44Z</dcterms:created>
  <dcterms:modified xsi:type="dcterms:W3CDTF">2026-08-10T22:41:42Z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