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3" documentId="11_3416CA9C2A3CD5F5A19A1CD0C95BAA3910B01E72" xr6:coauthVersionLast="47" xr6:coauthVersionMax="47" xr10:uidLastSave="{7C4A617A-D493-484A-8C66-96F75F5282B1}"/>
  <bookViews>
    <workbookView xWindow="0" yWindow="0" windowWidth="16384" windowHeight="8192" tabRatio="500" xr2:uid="{00000000-000D-0000-FFFF-FFFF00000000}"/>
  </bookViews>
  <sheets>
    <sheet name="Equipment Info" sheetId="1" r:id="rId1"/>
    <sheet name="Condition History" sheetId="2" r:id="rId2"/>
    <sheet name="Performance Summary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3" l="1"/>
  <c r="B7" i="3"/>
  <c r="C6" i="3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B13" i="3" l="1"/>
  <c r="B12" i="3"/>
  <c r="B11" i="3"/>
</calcChain>
</file>

<file path=xl/sharedStrings.xml><?xml version="1.0" encoding="utf-8"?>
<sst xmlns="http://schemas.openxmlformats.org/spreadsheetml/2006/main" count="105" uniqueCount="103">
  <si>
    <t>EQUIPMENT PERFORMANCE — CONDITION MONITORING RECORD</t>
  </si>
  <si>
    <t>NAMEPLATE / IDENTIFICATION</t>
  </si>
  <si>
    <t>MONITORED PARAMETERS &amp; LIMITS</t>
  </si>
  <si>
    <t>Equipment Tag</t>
  </si>
  <si>
    <t>PM-4405B</t>
  </si>
  <si>
    <t>Parameter</t>
  </si>
  <si>
    <t>Alarm / Trip</t>
  </si>
  <si>
    <t>Equipment Name</t>
  </si>
  <si>
    <t>Cooling Water Pump PM-4405B (Motor Driven)</t>
  </si>
  <si>
    <t>Motor DE Bearing Temp (°C)</t>
  </si>
  <si>
    <t>75 / 90</t>
  </si>
  <si>
    <t>Equipment Type</t>
  </si>
  <si>
    <t>Centrifugal Pump / Electric Motor</t>
  </si>
  <si>
    <t>Motor Vibration (mm/s)</t>
  </si>
  <si>
    <t>5.0 / 8.0</t>
  </si>
  <si>
    <t>Equipment Class</t>
  </si>
  <si>
    <t>B</t>
  </si>
  <si>
    <t>Motor Ampere (A)</t>
  </si>
  <si>
    <t>150 / 165</t>
  </si>
  <si>
    <t>Plant / Unit</t>
  </si>
  <si>
    <t>Utility Plant (NUP)</t>
  </si>
  <si>
    <t>Winding Temp (°C)</t>
  </si>
  <si>
    <t>120 / 140</t>
  </si>
  <si>
    <t>Discipline</t>
  </si>
  <si>
    <t>ELE</t>
  </si>
  <si>
    <t>Criticality</t>
  </si>
  <si>
    <t>Medium</t>
  </si>
  <si>
    <t>Design Life</t>
  </si>
  <si>
    <t>5 years (bearing) / 24 months (seal element)</t>
  </si>
  <si>
    <t>Monitoring Method</t>
  </si>
  <si>
    <t>Online DCS + monthly vibration/thermography route</t>
  </si>
  <si>
    <t>Linked RCA / AR No.</t>
  </si>
  <si>
    <t>AR-2026-NUP-0089</t>
  </si>
  <si>
    <t>Failure Date</t>
  </si>
  <si>
    <t>08-Jul-2026</t>
  </si>
  <si>
    <t>Dominant Failure Mode</t>
  </si>
  <si>
    <t>Motor Bearing Failure (Overheating)</t>
  </si>
  <si>
    <t>Week</t>
  </si>
  <si>
    <t>Date</t>
  </si>
  <si>
    <t>Motor DE Bearing Temp
(°C)</t>
  </si>
  <si>
    <t>Motor Vibration
(mm/s)</t>
  </si>
  <si>
    <t>Motor Ampere
(A)</t>
  </si>
  <si>
    <t>Winding Temp
(°C)</t>
  </si>
  <si>
    <t>Health Status</t>
  </si>
  <si>
    <t>Remark</t>
  </si>
  <si>
    <t>2026-02-18</t>
  </si>
  <si>
    <t>2026-02-25</t>
  </si>
  <si>
    <t>2026-03-04</t>
  </si>
  <si>
    <t>2026-03-11</t>
  </si>
  <si>
    <t>2026-03-18</t>
  </si>
  <si>
    <t>2026-03-25</t>
  </si>
  <si>
    <t>2026-04-01</t>
  </si>
  <si>
    <t>2026-04-08</t>
  </si>
  <si>
    <t>2026-04-15</t>
  </si>
  <si>
    <t>2026-04-22</t>
  </si>
  <si>
    <t>2026-04-29</t>
  </si>
  <si>
    <t>2026-05-06</t>
  </si>
  <si>
    <t>2026-05-13</t>
  </si>
  <si>
    <t>2026-05-20</t>
  </si>
  <si>
    <t>2026-05-27</t>
  </si>
  <si>
    <t>2026-06-03</t>
  </si>
  <si>
    <t>2026-06-10</t>
  </si>
  <si>
    <t>2026-06-17</t>
  </si>
  <si>
    <t>Degradation trend — under close monitoring</t>
  </si>
  <si>
    <t>2026-06-24</t>
  </si>
  <si>
    <t>2026-07-01</t>
  </si>
  <si>
    <t>2026-07-08</t>
  </si>
  <si>
    <t>FAILURE — Motor Bearing Failure (Overheating); unplanned downtime 8.0 h</t>
  </si>
  <si>
    <t>2026-07-15</t>
  </si>
  <si>
    <t>Post-repair baseline restored (CAPA executed)</t>
  </si>
  <si>
    <t>2026-07-22</t>
  </si>
  <si>
    <t>2026-07-29</t>
  </si>
  <si>
    <t>2026-08-05</t>
  </si>
  <si>
    <t>2026-08-12</t>
  </si>
  <si>
    <t>PERFORMANCE SUMMARY — PM-4405B</t>
  </si>
  <si>
    <t>KPI</t>
  </si>
  <si>
    <t>Value</t>
  </si>
  <si>
    <t>Basis / Formula</t>
  </si>
  <si>
    <t>Monitoring Period (weeks)</t>
  </si>
  <si>
    <t>Number of weekly readings</t>
  </si>
  <si>
    <t>Total Downtime (hours)</t>
  </si>
  <si>
    <t>From linked RCA downtime window</t>
  </si>
  <si>
    <t>Period Hours</t>
  </si>
  <si>
    <t>Availability (%)</t>
  </si>
  <si>
    <t>(Period-Downtime)/Period</t>
  </si>
  <si>
    <t>No. of Failures (period)</t>
  </si>
  <si>
    <t>Failure events this period</t>
  </si>
  <si>
    <t>MTBF (hours)</t>
  </si>
  <si>
    <t>Period Hours / No. of Failures</t>
  </si>
  <si>
    <t>MTTR (hours)</t>
  </si>
  <si>
    <t>Mean time to repair</t>
  </si>
  <si>
    <t>ALARM readings</t>
  </si>
  <si>
    <t>Count of ALARM weeks</t>
  </si>
  <si>
    <t>TRIP readings</t>
  </si>
  <si>
    <t>Count of TRIP weeks</t>
  </si>
  <si>
    <t>NORMAL readings</t>
  </si>
  <si>
    <t>Count of NORMAL weeks</t>
  </si>
  <si>
    <t>PM Compliance (%)</t>
  </si>
  <si>
    <t>PM completed vs scheduled</t>
  </si>
  <si>
    <t>Production Loss (ton)</t>
  </si>
  <si>
    <t>Downtime x rate loss (from RCA)</t>
  </si>
  <si>
    <t>Estimated Loss (k USD)</t>
  </si>
  <si>
    <t>Production loss x 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</si>
</sst>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2" xfId="0" applyFont="1" applyFill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/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Normal="100" workbookViewId="0">
      <selection activeCell="B9" sqref="B9"/>
    </sheetView>
  </sheetViews>
  <sheetFormatPr defaultColWidth="8.7109375" defaultRowHeight="15"/>
  <cols>
    <col min="1" max="1" width="22" customWidth="1"/>
    <col min="2" max="2" width="30" customWidth="1"/>
    <col min="3" max="3" width="26" customWidth="1"/>
    <col min="4" max="4" width="16" customWidth="1"/>
  </cols>
  <sheetData>
    <row r="1" spans="1:4" ht="17.45" customHeight="1">
      <c r="A1" s="7" t="s">
        <v>0</v>
      </c>
      <c r="B1" s="7"/>
      <c r="C1" s="7"/>
      <c r="D1" s="7"/>
    </row>
    <row r="3" spans="1:4" ht="15" customHeight="1">
      <c r="A3" s="8" t="s">
        <v>1</v>
      </c>
      <c r="B3" s="8"/>
      <c r="C3" s="8" t="s">
        <v>2</v>
      </c>
      <c r="D3" s="8"/>
    </row>
    <row r="4" spans="1:4">
      <c r="A4" s="1" t="s">
        <v>3</v>
      </c>
      <c r="B4" s="2" t="s">
        <v>4</v>
      </c>
      <c r="C4" s="1" t="s">
        <v>5</v>
      </c>
      <c r="D4" s="1" t="s">
        <v>6</v>
      </c>
    </row>
    <row r="5" spans="1:4" ht="23.85">
      <c r="A5" s="1" t="s">
        <v>7</v>
      </c>
      <c r="B5" s="2" t="s">
        <v>8</v>
      </c>
      <c r="C5" s="2" t="s">
        <v>9</v>
      </c>
      <c r="D5" s="3" t="s">
        <v>10</v>
      </c>
    </row>
    <row r="6" spans="1:4">
      <c r="A6" s="1" t="s">
        <v>11</v>
      </c>
      <c r="B6" s="2" t="s">
        <v>12</v>
      </c>
      <c r="C6" s="2" t="s">
        <v>13</v>
      </c>
      <c r="D6" s="3" t="s">
        <v>14</v>
      </c>
    </row>
    <row r="7" spans="1:4">
      <c r="A7" s="1" t="s">
        <v>15</v>
      </c>
      <c r="B7" s="2" t="s">
        <v>16</v>
      </c>
      <c r="C7" s="2" t="s">
        <v>17</v>
      </c>
      <c r="D7" s="3" t="s">
        <v>18</v>
      </c>
    </row>
    <row r="8" spans="1:4">
      <c r="A8" s="1" t="s">
        <v>19</v>
      </c>
      <c r="B8" s="2" t="s">
        <v>20</v>
      </c>
      <c r="C8" s="2" t="s">
        <v>21</v>
      </c>
      <c r="D8" s="3" t="s">
        <v>22</v>
      </c>
    </row>
    <row r="9" spans="1:4">
      <c r="A9" s="1" t="s">
        <v>23</v>
      </c>
      <c r="B9" s="2" t="s">
        <v>24</v>
      </c>
    </row>
    <row r="10" spans="1:4">
      <c r="A10" s="1" t="s">
        <v>25</v>
      </c>
      <c r="B10" s="2" t="s">
        <v>26</v>
      </c>
    </row>
    <row r="11" spans="1:4" ht="23.85">
      <c r="A11" s="1" t="s">
        <v>27</v>
      </c>
      <c r="B11" s="2" t="s">
        <v>28</v>
      </c>
    </row>
    <row r="12" spans="1:4" ht="23.85">
      <c r="A12" s="1" t="s">
        <v>29</v>
      </c>
      <c r="B12" s="2" t="s">
        <v>30</v>
      </c>
    </row>
    <row r="13" spans="1:4">
      <c r="A13" s="1" t="s">
        <v>31</v>
      </c>
      <c r="B13" s="2" t="s">
        <v>32</v>
      </c>
    </row>
    <row r="14" spans="1:4">
      <c r="A14" s="1" t="s">
        <v>33</v>
      </c>
      <c r="B14" s="2" t="s">
        <v>34</v>
      </c>
    </row>
    <row r="15" spans="1:4">
      <c r="A15" s="1" t="s">
        <v>35</v>
      </c>
      <c r="B15" s="2" t="s">
        <v>36</v>
      </c>
    </row>
  </sheetData>
  <mergeCells count="3">
    <mergeCell ref="A1:D1"/>
    <mergeCell ref="A3:B3"/>
    <mergeCell ref="C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6" customWidth="1"/>
    <col min="2" max="2" width="12" customWidth="1"/>
    <col min="3" max="7" width="13" customWidth="1"/>
    <col min="8" max="8" width="42" customWidth="1"/>
  </cols>
  <sheetData>
    <row r="1" spans="1:8" ht="33.75" customHeight="1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>
      <c r="A2" s="3">
        <v>1</v>
      </c>
      <c r="B2" s="3" t="s">
        <v>45</v>
      </c>
      <c r="C2" s="3">
        <v>63.616999999999997</v>
      </c>
      <c r="D2" s="3">
        <v>2.468</v>
      </c>
      <c r="E2" s="3">
        <v>133.72499999999999</v>
      </c>
      <c r="F2" s="3">
        <v>96.638999999999996</v>
      </c>
      <c r="G2" s="3" t="str">
        <f>IF(OR(C2&gt;=90,D2&gt;=8,E2&gt;=165,F2&gt;=140),"TRIP",IF(OR(C2&gt;=75,D2&gt;=5,E2&gt;=150,F2&gt;=120),"ALARM","NORMAL"))</f>
        <v>NORMAL</v>
      </c>
      <c r="H2" s="2"/>
    </row>
    <row r="3" spans="1:8">
      <c r="A3" s="3">
        <v>2</v>
      </c>
      <c r="B3" s="3" t="s">
        <v>46</v>
      </c>
      <c r="C3" s="3">
        <v>64.040000000000006</v>
      </c>
      <c r="D3" s="3">
        <v>2.4430000000000001</v>
      </c>
      <c r="E3" s="3">
        <v>131.36600000000001</v>
      </c>
      <c r="F3" s="3">
        <v>94.457999999999998</v>
      </c>
      <c r="G3" s="3" t="str">
        <f>IF(OR(C3&gt;=90,D3&gt;=8,E3&gt;=165,F3&gt;=140),"TRIP",IF(OR(C3&gt;=75,D3&gt;=5,E3&gt;=150,F3&gt;=120),"ALARM","NORMAL"))</f>
        <v>NORMAL</v>
      </c>
      <c r="H3" s="2"/>
    </row>
    <row r="4" spans="1:8">
      <c r="A4" s="3">
        <v>3</v>
      </c>
      <c r="B4" s="3" t="s">
        <v>47</v>
      </c>
      <c r="C4" s="3">
        <v>64.006</v>
      </c>
      <c r="D4" s="3">
        <v>2.6789999999999998</v>
      </c>
      <c r="E4" s="3">
        <v>132.215</v>
      </c>
      <c r="F4" s="3">
        <v>96.07</v>
      </c>
      <c r="G4" s="3" t="str">
        <f>IF(OR(C4&gt;=90,D4&gt;=8,E4&gt;=165,F4&gt;=140),"TRIP",IF(OR(C4&gt;=75,D4&gt;=5,E4&gt;=150,F4&gt;=120),"ALARM","NORMAL"))</f>
        <v>NORMAL</v>
      </c>
      <c r="H4" s="2"/>
    </row>
    <row r="5" spans="1:8">
      <c r="A5" s="3">
        <v>4</v>
      </c>
      <c r="B5" s="3" t="s">
        <v>48</v>
      </c>
      <c r="C5" s="3">
        <v>64.94</v>
      </c>
      <c r="D5" s="3">
        <v>2.6179999999999999</v>
      </c>
      <c r="E5" s="3">
        <v>132.45400000000001</v>
      </c>
      <c r="F5" s="3">
        <v>96.361000000000004</v>
      </c>
      <c r="G5" s="3" t="str">
        <f>IF(OR(C5&gt;=90,D5&gt;=8,E5&gt;=165,F5&gt;=140),"TRIP",IF(OR(C5&gt;=75,D5&gt;=5,E5&gt;=150,F5&gt;=120),"ALARM","NORMAL"))</f>
        <v>NORMAL</v>
      </c>
      <c r="H5" s="2"/>
    </row>
    <row r="6" spans="1:8">
      <c r="A6" s="3">
        <v>5</v>
      </c>
      <c r="B6" s="3" t="s">
        <v>49</v>
      </c>
      <c r="C6" s="3">
        <v>65.55</v>
      </c>
      <c r="D6" s="3">
        <v>2.782</v>
      </c>
      <c r="E6" s="3">
        <v>134.23099999999999</v>
      </c>
      <c r="F6" s="3">
        <v>95.593000000000004</v>
      </c>
      <c r="G6" s="3" t="str">
        <f>IF(OR(C6&gt;=90,D6&gt;=8,E6&gt;=165,F6&gt;=140),"TRIP",IF(OR(C6&gt;=75,D6&gt;=5,E6&gt;=150,F6&gt;=120),"ALARM","NORMAL"))</f>
        <v>NORMAL</v>
      </c>
      <c r="H6" s="2"/>
    </row>
    <row r="7" spans="1:8">
      <c r="A7" s="3">
        <v>6</v>
      </c>
      <c r="B7" s="3" t="s">
        <v>50</v>
      </c>
      <c r="C7" s="3">
        <v>65.644999999999996</v>
      </c>
      <c r="D7" s="3">
        <v>3.0030000000000001</v>
      </c>
      <c r="E7" s="3">
        <v>133.577</v>
      </c>
      <c r="F7" s="3">
        <v>96.822999999999993</v>
      </c>
      <c r="G7" s="3" t="str">
        <f>IF(OR(C7&gt;=90,D7&gt;=8,E7&gt;=165,F7&gt;=140),"TRIP",IF(OR(C7&gt;=75,D7&gt;=5,E7&gt;=150,F7&gt;=120),"ALARM","NORMAL"))</f>
        <v>NORMAL</v>
      </c>
      <c r="H7" s="2"/>
    </row>
    <row r="8" spans="1:8">
      <c r="A8" s="3">
        <v>7</v>
      </c>
      <c r="B8" s="3" t="s">
        <v>51</v>
      </c>
      <c r="C8" s="3">
        <v>66.475999999999999</v>
      </c>
      <c r="D8" s="3">
        <v>3.0619999999999998</v>
      </c>
      <c r="E8" s="3">
        <v>134.03299999999999</v>
      </c>
      <c r="F8" s="3">
        <v>98.95</v>
      </c>
      <c r="G8" s="3" t="str">
        <f>IF(OR(C8&gt;=90,D8&gt;=8,E8&gt;=165,F8&gt;=140),"TRIP",IF(OR(C8&gt;=75,D8&gt;=5,E8&gt;=150,F8&gt;=120),"ALARM","NORMAL"))</f>
        <v>NORMAL</v>
      </c>
      <c r="H8" s="2"/>
    </row>
    <row r="9" spans="1:8">
      <c r="A9" s="3">
        <v>8</v>
      </c>
      <c r="B9" s="3" t="s">
        <v>52</v>
      </c>
      <c r="C9" s="3">
        <v>66.850999999999999</v>
      </c>
      <c r="D9" s="3">
        <v>3.2010000000000001</v>
      </c>
      <c r="E9" s="3">
        <v>134.38499999999999</v>
      </c>
      <c r="F9" s="3">
        <v>99.369</v>
      </c>
      <c r="G9" s="3" t="str">
        <f>IF(OR(C9&gt;=90,D9&gt;=8,E9&gt;=165,F9&gt;=140),"TRIP",IF(OR(C9&gt;=75,D9&gt;=5,E9&gt;=150,F9&gt;=120),"ALARM","NORMAL"))</f>
        <v>NORMAL</v>
      </c>
      <c r="H9" s="2"/>
    </row>
    <row r="10" spans="1:8">
      <c r="A10" s="3">
        <v>9</v>
      </c>
      <c r="B10" s="3" t="s">
        <v>53</v>
      </c>
      <c r="C10" s="3">
        <v>68.558999999999997</v>
      </c>
      <c r="D10" s="3">
        <v>3.343</v>
      </c>
      <c r="E10" s="3">
        <v>136.25399999999999</v>
      </c>
      <c r="F10" s="3">
        <v>100.744</v>
      </c>
      <c r="G10" s="3" t="str">
        <f>IF(OR(C10&gt;=90,D10&gt;=8,E10&gt;=165,F10&gt;=140),"TRIP",IF(OR(C10&gt;=75,D10&gt;=5,E10&gt;=150,F10&gt;=120),"ALARM","NORMAL"))</f>
        <v>NORMAL</v>
      </c>
      <c r="H10" s="2"/>
    </row>
    <row r="11" spans="1:8">
      <c r="A11" s="3">
        <v>10</v>
      </c>
      <c r="B11" s="3" t="s">
        <v>54</v>
      </c>
      <c r="C11" s="3">
        <v>69.632999999999996</v>
      </c>
      <c r="D11" s="3">
        <v>3.706</v>
      </c>
      <c r="E11" s="3">
        <v>138.69</v>
      </c>
      <c r="F11" s="3">
        <v>103.699</v>
      </c>
      <c r="G11" s="3" t="str">
        <f>IF(OR(C11&gt;=90,D11&gt;=8,E11&gt;=165,F11&gt;=140),"TRIP",IF(OR(C11&gt;=75,D11&gt;=5,E11&gt;=150,F11&gt;=120),"ALARM","NORMAL"))</f>
        <v>NORMAL</v>
      </c>
      <c r="H11" s="2"/>
    </row>
    <row r="12" spans="1:8">
      <c r="A12" s="3">
        <v>11</v>
      </c>
      <c r="B12" s="3" t="s">
        <v>55</v>
      </c>
      <c r="C12" s="3">
        <v>70.412999999999997</v>
      </c>
      <c r="D12" s="3">
        <v>4.2</v>
      </c>
      <c r="E12" s="3">
        <v>139.70099999999999</v>
      </c>
      <c r="F12" s="3">
        <v>104.721</v>
      </c>
      <c r="G12" s="3" t="str">
        <f>IF(OR(C12&gt;=90,D12&gt;=8,E12&gt;=165,F12&gt;=140),"TRIP",IF(OR(C12&gt;=75,D12&gt;=5,E12&gt;=150,F12&gt;=120),"ALARM","NORMAL"))</f>
        <v>NORMAL</v>
      </c>
      <c r="H12" s="2"/>
    </row>
    <row r="13" spans="1:8">
      <c r="A13" s="3">
        <v>12</v>
      </c>
      <c r="B13" s="3" t="s">
        <v>56</v>
      </c>
      <c r="C13" s="3">
        <v>71.385000000000005</v>
      </c>
      <c r="D13" s="3">
        <v>4.1319999999999997</v>
      </c>
      <c r="E13" s="3">
        <v>142.76300000000001</v>
      </c>
      <c r="F13" s="3">
        <v>108.321</v>
      </c>
      <c r="G13" s="3" t="str">
        <f>IF(OR(C13&gt;=90,D13&gt;=8,E13&gt;=165,F13&gt;=140),"TRIP",IF(OR(C13&gt;=75,D13&gt;=5,E13&gt;=150,F13&gt;=120),"ALARM","NORMAL"))</f>
        <v>NORMAL</v>
      </c>
      <c r="H13" s="2"/>
    </row>
    <row r="14" spans="1:8">
      <c r="A14" s="3">
        <v>13</v>
      </c>
      <c r="B14" s="3" t="s">
        <v>57</v>
      </c>
      <c r="C14" s="3">
        <v>73.921000000000006</v>
      </c>
      <c r="D14" s="3">
        <v>4.3879999999999999</v>
      </c>
      <c r="E14" s="3">
        <v>142.827</v>
      </c>
      <c r="F14" s="3">
        <v>110.60599999999999</v>
      </c>
      <c r="G14" s="3" t="str">
        <f>IF(OR(C14&gt;=90,D14&gt;=8,E14&gt;=165,F14&gt;=140),"TRIP",IF(OR(C14&gt;=75,D14&gt;=5,E14&gt;=150,F14&gt;=120),"ALARM","NORMAL"))</f>
        <v>NORMAL</v>
      </c>
      <c r="H14" s="2"/>
    </row>
    <row r="15" spans="1:8">
      <c r="A15" s="3">
        <v>14</v>
      </c>
      <c r="B15" s="3" t="s">
        <v>58</v>
      </c>
      <c r="C15" s="3">
        <v>74.537000000000006</v>
      </c>
      <c r="D15" s="3">
        <v>4.8380000000000001</v>
      </c>
      <c r="E15" s="3">
        <v>145.82400000000001</v>
      </c>
      <c r="F15" s="3">
        <v>114.327</v>
      </c>
      <c r="G15" s="3" t="str">
        <f>IF(OR(C15&gt;=90,D15&gt;=8,E15&gt;=165,F15&gt;=140),"TRIP",IF(OR(C15&gt;=75,D15&gt;=5,E15&gt;=150,F15&gt;=120),"ALARM","NORMAL"))</f>
        <v>NORMAL</v>
      </c>
      <c r="H15" s="2"/>
    </row>
    <row r="16" spans="1:8">
      <c r="A16" s="3">
        <v>15</v>
      </c>
      <c r="B16" s="3" t="s">
        <v>59</v>
      </c>
      <c r="C16" s="3">
        <v>76.498000000000005</v>
      </c>
      <c r="D16" s="3">
        <v>5.375</v>
      </c>
      <c r="E16" s="3">
        <v>147.179</v>
      </c>
      <c r="F16" s="3">
        <v>117.834</v>
      </c>
      <c r="G16" s="3" t="str">
        <f>IF(OR(C16&gt;=90,D16&gt;=8,E16&gt;=165,F16&gt;=140),"TRIP",IF(OR(C16&gt;=75,D16&gt;=5,E16&gt;=150,F16&gt;=120),"ALARM","NORMAL"))</f>
        <v>ALARM</v>
      </c>
      <c r="H16" s="2"/>
    </row>
    <row r="17" spans="1:8">
      <c r="A17" s="3">
        <v>16</v>
      </c>
      <c r="B17" s="3" t="s">
        <v>60</v>
      </c>
      <c r="C17" s="3">
        <v>78.257999999999996</v>
      </c>
      <c r="D17" s="3">
        <v>5.6059999999999999</v>
      </c>
      <c r="E17" s="3">
        <v>150.38900000000001</v>
      </c>
      <c r="F17" s="3">
        <v>118.57599999999999</v>
      </c>
      <c r="G17" s="3" t="str">
        <f>IF(OR(C17&gt;=90,D17&gt;=8,E17&gt;=165,F17&gt;=140),"TRIP",IF(OR(C17&gt;=75,D17&gt;=5,E17&gt;=150,F17&gt;=120),"ALARM","NORMAL"))</f>
        <v>ALARM</v>
      </c>
      <c r="H17" s="2"/>
    </row>
    <row r="18" spans="1:8">
      <c r="A18" s="3">
        <v>17</v>
      </c>
      <c r="B18" s="3" t="s">
        <v>61</v>
      </c>
      <c r="C18" s="3">
        <v>80.813999999999993</v>
      </c>
      <c r="D18" s="3">
        <v>6.0430000000000001</v>
      </c>
      <c r="E18" s="3">
        <v>152.55500000000001</v>
      </c>
      <c r="F18" s="3">
        <v>123.3</v>
      </c>
      <c r="G18" s="3" t="str">
        <f>IF(OR(C18&gt;=90,D18&gt;=8,E18&gt;=165,F18&gt;=140),"TRIP",IF(OR(C18&gt;=75,D18&gt;=5,E18&gt;=150,F18&gt;=120),"ALARM","NORMAL"))</f>
        <v>ALARM</v>
      </c>
      <c r="H18" s="2"/>
    </row>
    <row r="19" spans="1:8">
      <c r="A19" s="3">
        <v>18</v>
      </c>
      <c r="B19" s="3" t="s">
        <v>62</v>
      </c>
      <c r="C19" s="3">
        <v>82.787999999999997</v>
      </c>
      <c r="D19" s="3">
        <v>6.4930000000000003</v>
      </c>
      <c r="E19" s="3">
        <v>155.447</v>
      </c>
      <c r="F19" s="3">
        <v>128.02699999999999</v>
      </c>
      <c r="G19" s="3" t="str">
        <f>IF(OR(C19&gt;=90,D19&gt;=8,E19&gt;=165,F19&gt;=140),"TRIP",IF(OR(C19&gt;=75,D19&gt;=5,E19&gt;=150,F19&gt;=120),"ALARM","NORMAL"))</f>
        <v>ALARM</v>
      </c>
      <c r="H19" s="2" t="s">
        <v>63</v>
      </c>
    </row>
    <row r="20" spans="1:8">
      <c r="A20" s="3">
        <v>19</v>
      </c>
      <c r="B20" s="3" t="s">
        <v>64</v>
      </c>
      <c r="C20" s="3">
        <v>84.415000000000006</v>
      </c>
      <c r="D20" s="3">
        <v>6.9909999999999997</v>
      </c>
      <c r="E20" s="3">
        <v>157.39599999999999</v>
      </c>
      <c r="F20" s="3">
        <v>133.654</v>
      </c>
      <c r="G20" s="3" t="str">
        <f>IF(OR(C20&gt;=90,D20&gt;=8,E20&gt;=165,F20&gt;=140),"TRIP",IF(OR(C20&gt;=75,D20&gt;=5,E20&gt;=150,F20&gt;=120),"ALARM","NORMAL"))</f>
        <v>ALARM</v>
      </c>
      <c r="H20" s="2" t="s">
        <v>63</v>
      </c>
    </row>
    <row r="21" spans="1:8">
      <c r="A21" s="3">
        <v>20</v>
      </c>
      <c r="B21" s="3" t="s">
        <v>65</v>
      </c>
      <c r="C21" s="3">
        <v>87.236000000000004</v>
      </c>
      <c r="D21" s="3">
        <v>7.3719999999999999</v>
      </c>
      <c r="E21" s="3">
        <v>162.30699999999999</v>
      </c>
      <c r="F21" s="3">
        <v>135.48599999999999</v>
      </c>
      <c r="G21" s="3" t="str">
        <f>IF(OR(C21&gt;=90,D21&gt;=8,E21&gt;=165,F21&gt;=140),"TRIP",IF(OR(C21&gt;=75,D21&gt;=5,E21&gt;=150,F21&gt;=120),"ALARM","NORMAL"))</f>
        <v>ALARM</v>
      </c>
      <c r="H21" s="2" t="s">
        <v>63</v>
      </c>
    </row>
    <row r="22" spans="1:8" ht="23.85">
      <c r="A22" s="3">
        <v>21</v>
      </c>
      <c r="B22" s="3" t="s">
        <v>66</v>
      </c>
      <c r="C22" s="3">
        <v>91.8</v>
      </c>
      <c r="D22" s="3">
        <v>8.16</v>
      </c>
      <c r="E22" s="3">
        <v>168.3</v>
      </c>
      <c r="F22" s="3">
        <v>142.80000000000001</v>
      </c>
      <c r="G22" s="3" t="str">
        <f>IF(OR(C22&gt;=90,D22&gt;=8,E22&gt;=165,F22&gt;=140),"TRIP",IF(OR(C22&gt;=75,D22&gt;=5,E22&gt;=150,F22&gt;=120),"ALARM","NORMAL"))</f>
        <v>TRIP</v>
      </c>
      <c r="H22" s="2" t="s">
        <v>67</v>
      </c>
    </row>
    <row r="23" spans="1:8">
      <c r="A23" s="3">
        <v>22</v>
      </c>
      <c r="B23" s="3" t="s">
        <v>68</v>
      </c>
      <c r="C23" s="3">
        <v>63.965000000000003</v>
      </c>
      <c r="D23" s="3">
        <v>2.5449999999999999</v>
      </c>
      <c r="E23" s="3">
        <v>127.65900000000001</v>
      </c>
      <c r="F23" s="3">
        <v>91.57</v>
      </c>
      <c r="G23" s="3" t="str">
        <f>IF(OR(C23&gt;=90,D23&gt;=8,E23&gt;=165,F23&gt;=140),"TRIP",IF(OR(C23&gt;=75,D23&gt;=5,E23&gt;=150,F23&gt;=120),"ALARM","NORMAL"))</f>
        <v>NORMAL</v>
      </c>
      <c r="H23" s="2" t="s">
        <v>69</v>
      </c>
    </row>
    <row r="24" spans="1:8">
      <c r="A24" s="3">
        <v>23</v>
      </c>
      <c r="B24" s="3" t="s">
        <v>70</v>
      </c>
      <c r="C24" s="3">
        <v>65.846000000000004</v>
      </c>
      <c r="D24" s="3">
        <v>2.681</v>
      </c>
      <c r="E24" s="3">
        <v>127.446</v>
      </c>
      <c r="F24" s="3">
        <v>97.367000000000004</v>
      </c>
      <c r="G24" s="3" t="str">
        <f>IF(OR(C24&gt;=90,D24&gt;=8,E24&gt;=165,F24&gt;=140),"TRIP",IF(OR(C24&gt;=75,D24&gt;=5,E24&gt;=150,F24&gt;=120),"ALARM","NORMAL"))</f>
        <v>NORMAL</v>
      </c>
      <c r="H24" s="2"/>
    </row>
    <row r="25" spans="1:8">
      <c r="A25" s="3">
        <v>24</v>
      </c>
      <c r="B25" s="3" t="s">
        <v>71</v>
      </c>
      <c r="C25" s="3">
        <v>64.983999999999995</v>
      </c>
      <c r="D25" s="3">
        <v>2.4279999999999999</v>
      </c>
      <c r="E25" s="3">
        <v>127.592</v>
      </c>
      <c r="F25" s="3">
        <v>92.001000000000005</v>
      </c>
      <c r="G25" s="3" t="str">
        <f>IF(OR(C25&gt;=90,D25&gt;=8,E25&gt;=165,F25&gt;=140),"TRIP",IF(OR(C25&gt;=75,D25&gt;=5,E25&gt;=150,F25&gt;=120),"ALARM","NORMAL"))</f>
        <v>NORMAL</v>
      </c>
      <c r="H25" s="2"/>
    </row>
    <row r="26" spans="1:8">
      <c r="A26" s="3">
        <v>25</v>
      </c>
      <c r="B26" s="3" t="s">
        <v>72</v>
      </c>
      <c r="C26" s="3">
        <v>65.037999999999997</v>
      </c>
      <c r="D26" s="3">
        <v>2.5289999999999999</v>
      </c>
      <c r="E26" s="3">
        <v>132.291</v>
      </c>
      <c r="F26" s="3">
        <v>93.757000000000005</v>
      </c>
      <c r="G26" s="3" t="str">
        <f>IF(OR(C26&gt;=90,D26&gt;=8,E26&gt;=165,F26&gt;=140),"TRIP",IF(OR(C26&gt;=75,D26&gt;=5,E26&gt;=150,F26&gt;=120),"ALARM","NORMAL"))</f>
        <v>NORMAL</v>
      </c>
      <c r="H26" s="2"/>
    </row>
    <row r="27" spans="1:8">
      <c r="A27" s="3">
        <v>26</v>
      </c>
      <c r="B27" s="3" t="s">
        <v>73</v>
      </c>
      <c r="C27" s="3">
        <v>64.849000000000004</v>
      </c>
      <c r="D27" s="3">
        <v>2.528</v>
      </c>
      <c r="E27" s="3">
        <v>131.85400000000001</v>
      </c>
      <c r="F27" s="3">
        <v>94.427000000000007</v>
      </c>
      <c r="G27" s="3" t="str">
        <f>IF(OR(C27&gt;=90,D27&gt;=8,E27&gt;=165,F27&gt;=140),"TRIP",IF(OR(C27&gt;=75,D27&gt;=5,E27&gt;=150,F27&gt;=120),"ALARM","NORMAL"))</f>
        <v>NORMAL</v>
      </c>
      <c r="H27" s="2"/>
    </row>
  </sheetData>
  <conditionalFormatting sqref="G2:G27">
    <cfRule type="cellIs" dxfId="2" priority="2" operator="equal">
      <formula>"TRIP"</formula>
    </cfRule>
    <cfRule type="cellIs" dxfId="1" priority="3" operator="equal">
      <formula>"ALARM"</formula>
    </cfRule>
    <cfRule type="cellIs" dxfId="0" priority="4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/>
  </sheetViews>
  <sheetFormatPr defaultColWidth="8.7109375" defaultRowHeight="15"/>
  <cols>
    <col min="1" max="1" width="28" customWidth="1"/>
    <col min="2" max="2" width="16" customWidth="1"/>
    <col min="3" max="3" width="34" customWidth="1"/>
  </cols>
  <sheetData>
    <row r="1" spans="1:3" ht="17.45">
      <c r="A1" s="9" t="s">
        <v>74</v>
      </c>
      <c r="B1" s="9"/>
      <c r="C1" s="9"/>
    </row>
    <row r="3" spans="1:3">
      <c r="A3" s="4" t="s">
        <v>75</v>
      </c>
      <c r="B3" s="4" t="s">
        <v>76</v>
      </c>
      <c r="C3" s="4" t="s">
        <v>77</v>
      </c>
    </row>
    <row r="4" spans="1:3">
      <c r="A4" s="1" t="s">
        <v>78</v>
      </c>
      <c r="B4" s="3">
        <v>26</v>
      </c>
      <c r="C4" s="5" t="s">
        <v>79</v>
      </c>
    </row>
    <row r="5" spans="1:3">
      <c r="A5" s="1" t="s">
        <v>80</v>
      </c>
      <c r="B5" s="3">
        <v>8</v>
      </c>
      <c r="C5" s="5" t="s">
        <v>81</v>
      </c>
    </row>
    <row r="6" spans="1:3">
      <c r="A6" s="1" t="s">
        <v>82</v>
      </c>
      <c r="B6" s="3">
        <v>4368</v>
      </c>
      <c r="C6" s="5">
        <f>26*7*24</f>
        <v>4368</v>
      </c>
    </row>
    <row r="7" spans="1:3">
      <c r="A7" s="1" t="s">
        <v>83</v>
      </c>
      <c r="B7" s="6">
        <f>(1-8/4368)*100</f>
        <v>99.81684981684981</v>
      </c>
      <c r="C7" s="5" t="s">
        <v>84</v>
      </c>
    </row>
    <row r="8" spans="1:3">
      <c r="A8" s="1" t="s">
        <v>85</v>
      </c>
      <c r="B8" s="3">
        <v>1</v>
      </c>
      <c r="C8" s="5" t="s">
        <v>86</v>
      </c>
    </row>
    <row r="9" spans="1:3">
      <c r="A9" s="1" t="s">
        <v>87</v>
      </c>
      <c r="B9" s="3">
        <f>4368/1</f>
        <v>4368</v>
      </c>
      <c r="C9" s="5" t="s">
        <v>88</v>
      </c>
    </row>
    <row r="10" spans="1:3">
      <c r="A10" s="1" t="s">
        <v>89</v>
      </c>
      <c r="B10" s="3">
        <v>8</v>
      </c>
      <c r="C10" s="5" t="s">
        <v>90</v>
      </c>
    </row>
    <row r="11" spans="1:3">
      <c r="A11" s="1" t="s">
        <v>91</v>
      </c>
      <c r="B11" s="3">
        <f>COUNTIF('Condition History'!G2:G27,"ALARM")</f>
        <v>6</v>
      </c>
      <c r="C11" s="5" t="s">
        <v>92</v>
      </c>
    </row>
    <row r="12" spans="1:3">
      <c r="A12" s="1" t="s">
        <v>93</v>
      </c>
      <c r="B12" s="3">
        <f>COUNTIF('Condition History'!G2:G27,"TRIP")</f>
        <v>1</v>
      </c>
      <c r="C12" s="5" t="s">
        <v>94</v>
      </c>
    </row>
    <row r="13" spans="1:3">
      <c r="A13" s="1" t="s">
        <v>95</v>
      </c>
      <c r="B13" s="3">
        <f>COUNTIF('Condition History'!G2:G27,"NORMAL")</f>
        <v>19</v>
      </c>
      <c r="C13" s="5" t="s">
        <v>96</v>
      </c>
    </row>
    <row r="14" spans="1:3">
      <c r="A14" s="1" t="s">
        <v>97</v>
      </c>
      <c r="B14" s="6">
        <v>92</v>
      </c>
      <c r="C14" s="5" t="s">
        <v>98</v>
      </c>
    </row>
    <row r="15" spans="1:3">
      <c r="A15" s="1" t="s">
        <v>99</v>
      </c>
      <c r="B15" s="3">
        <v>160</v>
      </c>
      <c r="C15" s="5" t="s">
        <v>100</v>
      </c>
    </row>
    <row r="16" spans="1:3">
      <c r="A16" s="1" t="s">
        <v>101</v>
      </c>
      <c r="B16" s="3">
        <v>112</v>
      </c>
      <c r="C16" s="5" t="s">
        <v>102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Props1.xml><?xml version="1.0" encoding="utf-8"?>
<ds:datastoreItem xmlns:ds="http://schemas.openxmlformats.org/officeDocument/2006/customXml" ds:itemID="{0CFE0E52-BFAB-4570-AA84-A70DDE8CC233}"/>
</file>

<file path=customXml/itemProps2.xml><?xml version="1.0" encoding="utf-8"?>
<ds:datastoreItem xmlns:ds="http://schemas.openxmlformats.org/officeDocument/2006/customXml" ds:itemID="{F5EEA5E0-CDF0-4482-BEFA-1E1F6DB499D3}"/>
</file>

<file path=customXml/itemProps3.xml><?xml version="1.0" encoding="utf-8"?>
<ds:datastoreItem xmlns:ds="http://schemas.openxmlformats.org/officeDocument/2006/customXml" ds:itemID="{5F3906A9-EB7F-4B90-9779-6D2622DA0A15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Alif Agung Priambodo - RAI</cp:lastModifiedBy>
  <cp:revision>0</cp:revision>
  <dcterms:created xsi:type="dcterms:W3CDTF">2026-07-30T08:48:44Z</dcterms:created>
  <dcterms:modified xsi:type="dcterms:W3CDTF">2026-08-10T22:42:18Z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