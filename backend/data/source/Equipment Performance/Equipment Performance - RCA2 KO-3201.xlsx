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3" documentId="11_4A56AE27EC9C3ED722833CD8063B583784100FE3" xr6:coauthVersionLast="47" xr6:coauthVersionMax="47" xr10:uidLastSave="{6225C46E-1E87-43A4-BCF6-F297495440EC}"/>
  <bookViews>
    <workbookView xWindow="0" yWindow="0" windowWidth="16384" windowHeight="8192" tabRatio="500" xr2:uid="{00000000-000D-0000-FFFF-FFFF00000000}"/>
  </bookViews>
  <sheets>
    <sheet name="Equipment Info" sheetId="1" r:id="rId1"/>
    <sheet name="Condition History" sheetId="2" r:id="rId2"/>
    <sheet name="Performance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7" i="3"/>
  <c r="C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13" i="3" l="1"/>
  <c r="B12" i="3"/>
  <c r="B11" i="3"/>
</calcChain>
</file>

<file path=xl/sharedStrings.xml><?xml version="1.0" encoding="utf-8"?>
<sst xmlns="http://schemas.openxmlformats.org/spreadsheetml/2006/main" count="105" uniqueCount="103">
  <si>
    <t>EQUIPMENT PERFORMANCE — CONDITION MONITORING RECORD</t>
  </si>
  <si>
    <t>NAMEPLATE / IDENTIFICATION</t>
  </si>
  <si>
    <t>MONITORED PARAMETERS &amp; LIMITS</t>
  </si>
  <si>
    <t>Equipment Tag</t>
  </si>
  <si>
    <t>KO-3201</t>
  </si>
  <si>
    <t>Parameter</t>
  </si>
  <si>
    <t>Alarm / Trip</t>
  </si>
  <si>
    <t>Equipment Name</t>
  </si>
  <si>
    <t>Cracked Gas Compressor KO-3201</t>
  </si>
  <si>
    <t>DE Radial Vibration (micron)</t>
  </si>
  <si>
    <t>45 / 75</t>
  </si>
  <si>
    <t>Equipment Type</t>
  </si>
  <si>
    <t>Centrifugal Compressor</t>
  </si>
  <si>
    <t>Lube Oil Water Content (ppm)</t>
  </si>
  <si>
    <t>500 / 1500</t>
  </si>
  <si>
    <t>Equipment Class</t>
  </si>
  <si>
    <t>A</t>
  </si>
  <si>
    <t>Lube Oil Supply Press (barg)</t>
  </si>
  <si>
    <t>1.4 / 1.1</t>
  </si>
  <si>
    <t>Plant / Unit</t>
  </si>
  <si>
    <t>Cracker Unit (ZCU)</t>
  </si>
  <si>
    <t>Bearing Metal Temp (°C)</t>
  </si>
  <si>
    <t>95 / 110</t>
  </si>
  <si>
    <t>Discipline</t>
  </si>
  <si>
    <t>ROT</t>
  </si>
  <si>
    <t>Criticality</t>
  </si>
  <si>
    <t>High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</si>
  <si>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</si>
  <si>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</si>
  <si>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</si>
  <si>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</si>
  <si>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</si>
  <si>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AR-2026-ZCU-0142</t>
  </si>
  <si>
    <t>Failure Date</t>
  </si>
  <si>
    <t>29-Apr-2026</t>
  </si>
  <si>
    <t>Dominant Failure Mode</t>
  </si>
  <si>
    <t>High Radial Vibration Trip (Bearing Distress)</t>
  </si>
  <si>
    <t>Week</t>
  </si>
  <si>
    <t>Date</t>
  </si>
  <si>
    <t>DE Radial Vibration
(micron)</t>
  </si>
  <si>
    <t>Lube Oil Water Content
(ppm)</t>
  </si>
  <si>
    <t>Lube Oil Supply Press
(barg)</t>
  </si>
  <si>
    <t>Bearing Metal Temp
(°C)</t>
  </si>
  <si>
    <t>Health Status</t>
  </si>
  <si>
    <t>Remark</t>
  </si>
  <si>
    <t>2025-12-10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</si>
  <si>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</si>
  <si>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</si>
  <si>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</si>
  <si>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</si>
  <si>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</si>
  <si>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</si>
  <si>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</si>
  <si>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</si>
  <si>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</si>
  <si>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</si>
  <si>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</si>
  <si>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</si>
  <si>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</si>
  <si>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</si>
  <si>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</si>
  <si>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</si>
  <si>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</si>
  <si>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Degradation trend — under close monitoring</t>
  </si>
  <si>
    <t>2026-04-15</t>
  </si>
  <si>
    <t>2026-04-22</t>
  </si>
  <si>
    <t>2026-04-29</t>
  </si>
  <si>
    <t>FAILURE — High Radial Vibration Trip (Bearing Distress); unplanned downtime 32.0 h</t>
  </si>
  <si>
    <t>2026-05-06</t>
  </si>
  <si>
    <t>Post-repair baseline restored (CAPA executed)</t>
  </si>
  <si>
    <t>2026-05-13</t>
  </si>
  <si>
    <t>2026-05-20</t>
  </si>
  <si>
    <t>2026-05-27</t>
  </si>
  <si>
    <t>2026-06-03</t>
  </si>
  <si>
    <t>PERFORMANCE SUMMARY — KO-3201</t>
  </si>
  <si>
    <t>KPI</t>
  </si>
  <si>
    <t>Value</t>
  </si>
  <si>
    <t>Basis / Formula</t>
  </si>
  <si>
    <t>Monitoring Period (weeks)</t>
  </si>
  <si>
    <t>Number of weekly readings</t>
  </si>
  <si>
    <t>Total Downtime (hours)</t>
  </si>
  <si>
    <t>From linked RCA downtime window</t>
  </si>
  <si>
    <t>Period Hours</t>
  </si>
  <si>
    <t>Availability (%)</t>
  </si>
  <si>
    <t>(Period-Downtime)/Period</t>
  </si>
  <si>
    <t>No. of Failures (period)</t>
  </si>
  <si>
    <t>Failure events this period</t>
  </si>
  <si>
    <t>MTBF (hours)</t>
  </si>
  <si>
    <t>Period Hours / No. of Failures</t>
  </si>
  <si>
    <t>MTTR (hours)</t>
  </si>
  <si>
    <t>Mean time to repair</t>
  </si>
  <si>
    <t>ALARM readings</t>
  </si>
  <si>
    <t>Count of ALARM weeks</t>
  </si>
  <si>
    <t>TRIP readings</t>
  </si>
  <si>
    <t>Count of TRIP weeks</t>
  </si>
  <si>
    <t>NORMAL readings</t>
  </si>
  <si>
    <t>Count of NORMAL weeks</t>
  </si>
  <si>
    <t>PM Compliance (%)</t>
  </si>
  <si>
    <t>PM completed vs scheduled</t>
  </si>
  <si>
    <t>Production Loss (ton)</t>
  </si>
  <si>
    <t>Downtime x rate loss (from RCA)</t>
  </si>
  <si>
    <t>Estimated Loss (k USD)</t>
  </si>
  <si>
    <t>Production loss x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</si>
</sst>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>
      <c r="A4" s="1" t="s">
        <v>3</v>
      </c>
      <c r="B4" s="2" t="s">
        <v>4</v>
      </c>
      <c r="C4" s="1" t="s">
        <v>5</v>
      </c>
      <c r="D4" s="1" t="s">
        <v>6</v>
      </c>
    </row>
    <row r="5" spans="1:4">
      <c r="A5" s="1" t="s">
        <v>7</v>
      </c>
      <c r="B5" s="2" t="s">
        <v>8</v>
      </c>
      <c r="C5" s="2" t="s">
        <v>9</v>
      </c>
      <c r="D5" s="3" t="s">
        <v>10</v>
      </c>
    </row>
    <row r="6" spans="1:4">
      <c r="A6" s="1" t="s">
        <v>11</v>
      </c>
      <c r="B6" s="2" t="s">
        <v>12</v>
      </c>
      <c r="C6" s="2" t="s">
        <v>13</v>
      </c>
      <c r="D6" s="3" t="s">
        <v>14</v>
      </c>
    </row>
    <row r="7" spans="1:4">
      <c r="A7" s="1" t="s">
        <v>15</v>
      </c>
      <c r="B7" s="2" t="s">
        <v>16</v>
      </c>
      <c r="C7" s="2" t="s">
        <v>17</v>
      </c>
      <c r="D7" s="3" t="s">
        <v>18</v>
      </c>
    </row>
    <row r="8" spans="1:4">
      <c r="A8" s="1" t="s">
        <v>19</v>
      </c>
      <c r="B8" s="2" t="s">
        <v>20</v>
      </c>
      <c r="C8" s="2" t="s">
        <v>21</v>
      </c>
      <c r="D8" s="3" t="s">
        <v>22</v>
      </c>
    </row>
    <row r="9" spans="1:4">
      <c r="A9" s="1" t="s">
        <v>23</v>
      </c>
      <c r="B9" s="2" t="s">
        <v>24</v>
      </c>
    </row>
    <row r="10" spans="1:4">
      <c r="A10" s="1" t="s">
        <v>25</v>
      </c>
      <c r="B10" s="2" t="s">
        <v>26</v>
      </c>
    </row>
    <row r="11" spans="1:4" ht="23.85">
      <c r="A11" s="1" t="s">
        <v>27</v>
      </c>
      <c r="B11" s="2" t="s">
        <v>28</v>
      </c>
    </row>
    <row r="12" spans="1:4" ht="23.85">
      <c r="A12" s="1" t="s">
        <v>29</v>
      </c>
      <c r="B12" s="2" t="s">
        <v>30</v>
      </c>
    </row>
    <row r="13" spans="1:4">
      <c r="A13" s="1" t="s">
        <v>31</v>
      </c>
      <c r="B13" s="2" t="s">
        <v>32</v>
      </c>
    </row>
    <row r="14" spans="1:4">
      <c r="A14" s="1" t="s">
        <v>33</v>
      </c>
      <c r="B14" s="2" t="s">
        <v>34</v>
      </c>
    </row>
    <row r="15" spans="1:4" ht="23.85">
      <c r="A15" s="1" t="s">
        <v>35</v>
      </c>
      <c r="B15" s="2" t="s">
        <v>36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>
      <pane xSplit="2" ySplit="1" topLeftCell="C10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3">
        <v>1</v>
      </c>
      <c r="B2" s="3" t="s">
        <v>45</v>
      </c>
      <c r="C2" s="3">
        <v>28.914000000000001</v>
      </c>
      <c r="D2" s="3">
        <v>259.77699999999999</v>
      </c>
      <c r="E2" s="3">
        <v>1.7989999999999999</v>
      </c>
      <c r="F2" s="3">
        <v>78.671000000000006</v>
      </c>
      <c r="G2" s="3" t="str">
        <f>IF(OR(C2&gt;=75,D2&gt;=1500,E2&lt;=1.1,F2&gt;=110),"TRIP",IF(OR(C2&gt;=45,D2&gt;=500,E2&lt;=1.4,F2&gt;=95),"ALARM","NORMAL"))</f>
        <v>NORMAL</v>
      </c>
      <c r="H2" s="2"/>
    </row>
    <row r="3" spans="1:8">
      <c r="A3" s="3">
        <v>2</v>
      </c>
      <c r="B3" s="3" t="s">
        <v>46</v>
      </c>
      <c r="C3" s="3">
        <v>26.899000000000001</v>
      </c>
      <c r="D3" s="3">
        <v>299.79599999999999</v>
      </c>
      <c r="E3" s="3">
        <v>1.776</v>
      </c>
      <c r="F3" s="3">
        <v>77.664000000000001</v>
      </c>
      <c r="G3" s="3" t="str">
        <f>IF(OR(C3&gt;=75,D3&gt;=1500,E3&lt;=1.1,F3&gt;=110),"TRIP",IF(OR(C3&gt;=45,D3&gt;=500,E3&lt;=1.4,F3&gt;=95),"ALARM","NORMAL"))</f>
        <v>NORMAL</v>
      </c>
      <c r="H3" s="2"/>
    </row>
    <row r="4" spans="1:8">
      <c r="A4" s="3">
        <v>3</v>
      </c>
      <c r="B4" s="3" t="s">
        <v>47</v>
      </c>
      <c r="C4" s="3">
        <v>29.739000000000001</v>
      </c>
      <c r="D4" s="3">
        <v>226.41499999999999</v>
      </c>
      <c r="E4" s="3">
        <v>1.794</v>
      </c>
      <c r="F4" s="3">
        <v>78.343999999999994</v>
      </c>
      <c r="G4" s="3" t="str">
        <f>IF(OR(C4&gt;=75,D4&gt;=1500,E4&lt;=1.1,F4&gt;=110),"TRIP",IF(OR(C4&gt;=45,D4&gt;=500,E4&lt;=1.4,F4&gt;=95),"ALARM","NORMAL"))</f>
        <v>NORMAL</v>
      </c>
      <c r="H4" s="2"/>
    </row>
    <row r="5" spans="1:8">
      <c r="A5" s="3">
        <v>4</v>
      </c>
      <c r="B5" s="3" t="s">
        <v>48</v>
      </c>
      <c r="C5" s="3">
        <v>29.024000000000001</v>
      </c>
      <c r="D5" s="3">
        <v>255.76599999999999</v>
      </c>
      <c r="E5" s="3">
        <v>1.79</v>
      </c>
      <c r="F5" s="3">
        <v>78.498999999999995</v>
      </c>
      <c r="G5" s="3" t="str">
        <f>IF(OR(C5&gt;=75,D5&gt;=1500,E5&lt;=1.1,F5&gt;=110),"TRIP",IF(OR(C5&gt;=45,D5&gt;=500,E5&lt;=1.4,F5&gt;=95),"ALARM","NORMAL"))</f>
        <v>NORMAL</v>
      </c>
      <c r="H5" s="2"/>
    </row>
    <row r="6" spans="1:8">
      <c r="A6" s="3">
        <v>5</v>
      </c>
      <c r="B6" s="3" t="s">
        <v>49</v>
      </c>
      <c r="C6" s="3">
        <v>28.658000000000001</v>
      </c>
      <c r="D6" s="3">
        <v>292.84899999999999</v>
      </c>
      <c r="E6" s="3">
        <v>1.784</v>
      </c>
      <c r="F6" s="3">
        <v>78.356999999999999</v>
      </c>
      <c r="G6" s="3" t="str">
        <f>IF(OR(C6&gt;=75,D6&gt;=1500,E6&lt;=1.1,F6&gt;=110),"TRIP",IF(OR(C6&gt;=45,D6&gt;=500,E6&lt;=1.4,F6&gt;=95),"ALARM","NORMAL"))</f>
        <v>NORMAL</v>
      </c>
      <c r="H6" s="2"/>
    </row>
    <row r="7" spans="1:8">
      <c r="A7" s="3">
        <v>6</v>
      </c>
      <c r="B7" s="3" t="s">
        <v>50</v>
      </c>
      <c r="C7" s="3">
        <v>30.289000000000001</v>
      </c>
      <c r="D7" s="3">
        <v>350.73399999999998</v>
      </c>
      <c r="E7" s="3">
        <v>1.748</v>
      </c>
      <c r="F7" s="3">
        <v>80.498000000000005</v>
      </c>
      <c r="G7" s="3" t="str">
        <f>IF(OR(C7&gt;=75,D7&gt;=1500,E7&lt;=1.1,F7&gt;=110),"TRIP",IF(OR(C7&gt;=45,D7&gt;=500,E7&lt;=1.4,F7&gt;=95),"ALARM","NORMAL"))</f>
        <v>NORMAL</v>
      </c>
      <c r="H7" s="2"/>
    </row>
    <row r="8" spans="1:8">
      <c r="A8" s="3">
        <v>7</v>
      </c>
      <c r="B8" s="3" t="s">
        <v>51</v>
      </c>
      <c r="C8" s="3">
        <v>33.697000000000003</v>
      </c>
      <c r="D8" s="3">
        <v>387.77300000000002</v>
      </c>
      <c r="E8" s="3">
        <v>1.73</v>
      </c>
      <c r="F8" s="3">
        <v>81.481999999999999</v>
      </c>
      <c r="G8" s="3" t="str">
        <f>IF(OR(C8&gt;=75,D8&gt;=1500,E8&lt;=1.1,F8&gt;=110),"TRIP",IF(OR(C8&gt;=45,D8&gt;=500,E8&lt;=1.4,F8&gt;=95),"ALARM","NORMAL"))</f>
        <v>NORMAL</v>
      </c>
      <c r="H8" s="2"/>
    </row>
    <row r="9" spans="1:8">
      <c r="A9" s="3">
        <v>8</v>
      </c>
      <c r="B9" s="3" t="s">
        <v>52</v>
      </c>
      <c r="C9" s="3">
        <v>33.93</v>
      </c>
      <c r="D9" s="3">
        <v>384.41199999999998</v>
      </c>
      <c r="E9" s="3">
        <v>1.7330000000000001</v>
      </c>
      <c r="F9" s="3">
        <v>81.741</v>
      </c>
      <c r="G9" s="3" t="str">
        <f>IF(OR(C9&gt;=75,D9&gt;=1500,E9&lt;=1.1,F9&gt;=110),"TRIP",IF(OR(C9&gt;=45,D9&gt;=500,E9&lt;=1.4,F9&gt;=95),"ALARM","NORMAL"))</f>
        <v>NORMAL</v>
      </c>
      <c r="H9" s="2"/>
    </row>
    <row r="10" spans="1:8">
      <c r="A10" s="3">
        <v>9</v>
      </c>
      <c r="B10" s="3" t="s">
        <v>53</v>
      </c>
      <c r="C10" s="3">
        <v>35.439</v>
      </c>
      <c r="D10" s="3">
        <v>470.81400000000002</v>
      </c>
      <c r="E10" s="3">
        <v>1.7050000000000001</v>
      </c>
      <c r="F10" s="3">
        <v>83.040999999999997</v>
      </c>
      <c r="G10" s="3" t="str">
        <f>IF(OR(C10&gt;=75,D10&gt;=1500,E10&lt;=1.1,F10&gt;=110),"TRIP",IF(OR(C10&gt;=45,D10&gt;=500,E10&lt;=1.4,F10&gt;=95),"ALARM","NORMAL"))</f>
        <v>NORMAL</v>
      </c>
      <c r="H10" s="2"/>
    </row>
    <row r="11" spans="1:8">
      <c r="A11" s="3">
        <v>10</v>
      </c>
      <c r="B11" s="3" t="s">
        <v>54</v>
      </c>
      <c r="C11" s="3">
        <v>37.664999999999999</v>
      </c>
      <c r="D11" s="3">
        <v>501.21300000000002</v>
      </c>
      <c r="E11" s="3">
        <v>1.635</v>
      </c>
      <c r="F11" s="3">
        <v>84.891999999999996</v>
      </c>
      <c r="G11" s="3" t="str">
        <f>IF(OR(C11&gt;=75,D11&gt;=1500,E11&lt;=1.1,F11&gt;=110),"TRIP",IF(OR(C11&gt;=45,D11&gt;=500,E11&lt;=1.4,F11&gt;=95),"ALARM","NORMAL"))</f>
        <v>ALARM</v>
      </c>
      <c r="H11" s="2"/>
    </row>
    <row r="12" spans="1:8">
      <c r="A12" s="3">
        <v>11</v>
      </c>
      <c r="B12" s="3" t="s">
        <v>55</v>
      </c>
      <c r="C12" s="3">
        <v>39.585999999999999</v>
      </c>
      <c r="D12" s="3">
        <v>587.81100000000004</v>
      </c>
      <c r="E12" s="3">
        <v>1.633</v>
      </c>
      <c r="F12" s="3">
        <v>87.153000000000006</v>
      </c>
      <c r="G12" s="3" t="str">
        <f>IF(OR(C12&gt;=75,D12&gt;=1500,E12&lt;=1.1,F12&gt;=110),"TRIP",IF(OR(C12&gt;=45,D12&gt;=500,E12&lt;=1.4,F12&gt;=95),"ALARM","NORMAL"))</f>
        <v>ALARM</v>
      </c>
      <c r="H12" s="2"/>
    </row>
    <row r="13" spans="1:8">
      <c r="A13" s="3">
        <v>12</v>
      </c>
      <c r="B13" s="3" t="s">
        <v>56</v>
      </c>
      <c r="C13" s="3">
        <v>41.609000000000002</v>
      </c>
      <c r="D13" s="3">
        <v>630.01099999999997</v>
      </c>
      <c r="E13" s="3">
        <v>1.6020000000000001</v>
      </c>
      <c r="F13" s="3">
        <v>87.656999999999996</v>
      </c>
      <c r="G13" s="3" t="str">
        <f>IF(OR(C13&gt;=75,D13&gt;=1500,E13&lt;=1.1,F13&gt;=110),"TRIP",IF(OR(C13&gt;=45,D13&gt;=500,E13&lt;=1.4,F13&gt;=95),"ALARM","NORMAL"))</f>
        <v>ALARM</v>
      </c>
      <c r="H13" s="2"/>
    </row>
    <row r="14" spans="1:8">
      <c r="A14" s="3">
        <v>13</v>
      </c>
      <c r="B14" s="3" t="s">
        <v>57</v>
      </c>
      <c r="C14" s="3">
        <v>45.505000000000003</v>
      </c>
      <c r="D14" s="3">
        <v>713.73599999999999</v>
      </c>
      <c r="E14" s="3">
        <v>1.538</v>
      </c>
      <c r="F14" s="3">
        <v>90.79</v>
      </c>
      <c r="G14" s="3" t="str">
        <f>IF(OR(C14&gt;=75,D14&gt;=1500,E14&lt;=1.1,F14&gt;=110),"TRIP",IF(OR(C14&gt;=45,D14&gt;=500,E14&lt;=1.4,F14&gt;=95),"ALARM","NORMAL"))</f>
        <v>ALARM</v>
      </c>
      <c r="H14" s="2"/>
    </row>
    <row r="15" spans="1:8">
      <c r="A15" s="3">
        <v>14</v>
      </c>
      <c r="B15" s="3" t="s">
        <v>58</v>
      </c>
      <c r="C15" s="3">
        <v>49.237000000000002</v>
      </c>
      <c r="D15" s="3">
        <v>778.64400000000001</v>
      </c>
      <c r="E15" s="3">
        <v>1.518</v>
      </c>
      <c r="F15" s="3">
        <v>92.430999999999997</v>
      </c>
      <c r="G15" s="3" t="str">
        <f>IF(OR(C15&gt;=75,D15&gt;=1500,E15&lt;=1.1,F15&gt;=110),"TRIP",IF(OR(C15&gt;=45,D15&gt;=500,E15&lt;=1.4,F15&gt;=95),"ALARM","NORMAL"))</f>
        <v>ALARM</v>
      </c>
      <c r="H15" s="2"/>
    </row>
    <row r="16" spans="1:8">
      <c r="A16" s="3">
        <v>15</v>
      </c>
      <c r="B16" s="3" t="s">
        <v>59</v>
      </c>
      <c r="C16" s="3">
        <v>51.110999999999997</v>
      </c>
      <c r="D16" s="3">
        <v>840.66</v>
      </c>
      <c r="E16" s="3">
        <v>1.454</v>
      </c>
      <c r="F16" s="3">
        <v>92.528000000000006</v>
      </c>
      <c r="G16" s="3" t="str">
        <f>IF(OR(C16&gt;=75,D16&gt;=1500,E16&lt;=1.1,F16&gt;=110),"TRIP",IF(OR(C16&gt;=45,D16&gt;=500,E16&lt;=1.4,F16&gt;=95),"ALARM","NORMAL"))</f>
        <v>ALARM</v>
      </c>
      <c r="H16" s="2"/>
    </row>
    <row r="17" spans="1:8">
      <c r="A17" s="3">
        <v>16</v>
      </c>
      <c r="B17" s="3" t="s">
        <v>60</v>
      </c>
      <c r="C17" s="3">
        <v>55.927</v>
      </c>
      <c r="D17" s="3">
        <v>929.85299999999995</v>
      </c>
      <c r="E17" s="3">
        <v>1.401</v>
      </c>
      <c r="F17" s="3">
        <v>95.960999999999999</v>
      </c>
      <c r="G17" s="3" t="str">
        <f>IF(OR(C17&gt;=75,D17&gt;=1500,E17&lt;=1.1,F17&gt;=110),"TRIP",IF(OR(C17&gt;=45,D17&gt;=500,E17&lt;=1.4,F17&gt;=95),"ALARM","NORMAL"))</f>
        <v>ALARM</v>
      </c>
      <c r="H17" s="2"/>
    </row>
    <row r="18" spans="1:8">
      <c r="A18" s="3">
        <v>17</v>
      </c>
      <c r="B18" s="3" t="s">
        <v>61</v>
      </c>
      <c r="C18" s="3">
        <v>59.122999999999998</v>
      </c>
      <c r="D18" s="3">
        <v>1062.337</v>
      </c>
      <c r="E18" s="3">
        <v>1.335</v>
      </c>
      <c r="F18" s="3">
        <v>98.831999999999994</v>
      </c>
      <c r="G18" s="3" t="str">
        <f>IF(OR(C18&gt;=75,D18&gt;=1500,E18&lt;=1.1,F18&gt;=110),"TRIP",IF(OR(C18&gt;=45,D18&gt;=500,E18&lt;=1.4,F18&gt;=95),"ALARM","NORMAL"))</f>
        <v>ALARM</v>
      </c>
      <c r="H18" s="2"/>
    </row>
    <row r="19" spans="1:8">
      <c r="A19" s="3">
        <v>18</v>
      </c>
      <c r="B19" s="3" t="s">
        <v>62</v>
      </c>
      <c r="C19" s="3">
        <v>60.529000000000003</v>
      </c>
      <c r="D19" s="3">
        <v>1135.42</v>
      </c>
      <c r="E19" s="3">
        <v>1.3129999999999999</v>
      </c>
      <c r="F19" s="3">
        <v>100.992</v>
      </c>
      <c r="G19" s="3" t="str">
        <f>IF(OR(C19&gt;=75,D19&gt;=1500,E19&lt;=1.1,F19&gt;=110),"TRIP",IF(OR(C19&gt;=45,D19&gt;=500,E19&lt;=1.4,F19&gt;=95),"ALARM","NORMAL"))</f>
        <v>ALARM</v>
      </c>
      <c r="H19" s="2" t="s">
        <v>63</v>
      </c>
    </row>
    <row r="20" spans="1:8">
      <c r="A20" s="3">
        <v>19</v>
      </c>
      <c r="B20" s="3" t="s">
        <v>64</v>
      </c>
      <c r="C20" s="3">
        <v>66.73</v>
      </c>
      <c r="D20" s="3">
        <v>1237.7850000000001</v>
      </c>
      <c r="E20" s="3">
        <v>1.2190000000000001</v>
      </c>
      <c r="F20" s="3">
        <v>104.623</v>
      </c>
      <c r="G20" s="3" t="str">
        <f>IF(OR(C20&gt;=75,D20&gt;=1500,E20&lt;=1.1,F20&gt;=110),"TRIP",IF(OR(C20&gt;=45,D20&gt;=500,E20&lt;=1.4,F20&gt;=95),"ALARM","NORMAL"))</f>
        <v>ALARM</v>
      </c>
      <c r="H20" s="2" t="s">
        <v>63</v>
      </c>
    </row>
    <row r="21" spans="1:8">
      <c r="A21" s="3">
        <v>20</v>
      </c>
      <c r="B21" s="3" t="s">
        <v>65</v>
      </c>
      <c r="C21" s="3">
        <v>71.674000000000007</v>
      </c>
      <c r="D21" s="3">
        <v>1372.7909999999999</v>
      </c>
      <c r="E21" s="3">
        <v>1.1220000000000001</v>
      </c>
      <c r="F21" s="3">
        <v>107.142</v>
      </c>
      <c r="G21" s="3" t="str">
        <f>IF(OR(C21&gt;=75,D21&gt;=1500,E21&lt;=1.1,F21&gt;=110),"TRIP",IF(OR(C21&gt;=45,D21&gt;=500,E21&lt;=1.4,F21&gt;=95),"ALARM","NORMAL"))</f>
        <v>ALARM</v>
      </c>
      <c r="H21" s="2" t="s">
        <v>63</v>
      </c>
    </row>
    <row r="22" spans="1:8" ht="23.85">
      <c r="A22" s="3">
        <v>21</v>
      </c>
      <c r="B22" s="3" t="s">
        <v>66</v>
      </c>
      <c r="C22" s="3">
        <v>76.5</v>
      </c>
      <c r="D22" s="3">
        <v>1530</v>
      </c>
      <c r="E22" s="3">
        <v>1.0780000000000001</v>
      </c>
      <c r="F22" s="3">
        <v>112.2</v>
      </c>
      <c r="G22" s="3" t="str">
        <f>IF(OR(C22&gt;=75,D22&gt;=1500,E22&lt;=1.1,F22&gt;=110),"TRIP",IF(OR(C22&gt;=45,D22&gt;=500,E22&lt;=1.4,F22&gt;=95),"ALARM","NORMAL"))</f>
        <v>TRIP</v>
      </c>
      <c r="H22" s="2" t="s">
        <v>67</v>
      </c>
    </row>
    <row r="23" spans="1:8">
      <c r="A23" s="3">
        <v>22</v>
      </c>
      <c r="B23" s="3" t="s">
        <v>68</v>
      </c>
      <c r="C23" s="3">
        <v>27.111000000000001</v>
      </c>
      <c r="D23" s="3">
        <v>248.268</v>
      </c>
      <c r="E23" s="3">
        <v>1.718</v>
      </c>
      <c r="F23" s="3">
        <v>76.162000000000006</v>
      </c>
      <c r="G23" s="3" t="str">
        <f>IF(OR(C23&gt;=75,D23&gt;=1500,E23&lt;=1.1,F23&gt;=110),"TRIP",IF(OR(C23&gt;=45,D23&gt;=500,E23&lt;=1.4,F23&gt;=95),"ALARM","NORMAL"))</f>
        <v>NORMAL</v>
      </c>
      <c r="H23" s="2" t="s">
        <v>69</v>
      </c>
    </row>
    <row r="24" spans="1:8">
      <c r="A24" s="3">
        <v>23</v>
      </c>
      <c r="B24" s="3" t="s">
        <v>70</v>
      </c>
      <c r="C24" s="3">
        <v>27.704000000000001</v>
      </c>
      <c r="D24" s="3">
        <v>241.51599999999999</v>
      </c>
      <c r="E24" s="3">
        <v>1.6839999999999999</v>
      </c>
      <c r="F24" s="3">
        <v>73.734999999999999</v>
      </c>
      <c r="G24" s="3" t="str">
        <f>IF(OR(C24&gt;=75,D24&gt;=1500,E24&lt;=1.1,F24&gt;=110),"TRIP",IF(OR(C24&gt;=45,D24&gt;=500,E24&lt;=1.4,F24&gt;=95),"ALARM","NORMAL"))</f>
        <v>NORMAL</v>
      </c>
      <c r="H24" s="2"/>
    </row>
    <row r="25" spans="1:8">
      <c r="A25" s="3">
        <v>24</v>
      </c>
      <c r="B25" s="3" t="s">
        <v>71</v>
      </c>
      <c r="C25" s="3">
        <v>26.92</v>
      </c>
      <c r="D25" s="3">
        <v>244.244</v>
      </c>
      <c r="E25" s="3">
        <v>1.84</v>
      </c>
      <c r="F25" s="3">
        <v>77.069999999999993</v>
      </c>
      <c r="G25" s="3" t="str">
        <f>IF(OR(C25&gt;=75,D25&gt;=1500,E25&lt;=1.1,F25&gt;=110),"TRIP",IF(OR(C25&gt;=45,D25&gt;=500,E25&lt;=1.4,F25&gt;=95),"ALARM","NORMAL"))</f>
        <v>NORMAL</v>
      </c>
      <c r="H25" s="2"/>
    </row>
    <row r="26" spans="1:8">
      <c r="A26" s="3">
        <v>25</v>
      </c>
      <c r="B26" s="3" t="s">
        <v>72</v>
      </c>
      <c r="C26" s="3">
        <v>27.433</v>
      </c>
      <c r="D26" s="3">
        <v>247.83799999999999</v>
      </c>
      <c r="E26" s="3">
        <v>1.7030000000000001</v>
      </c>
      <c r="F26" s="3">
        <v>74.816000000000003</v>
      </c>
      <c r="G26" s="3" t="str">
        <f>IF(OR(C26&gt;=75,D26&gt;=1500,E26&lt;=1.1,F26&gt;=110),"TRIP",IF(OR(C26&gt;=45,D26&gt;=500,E26&lt;=1.4,F26&gt;=95),"ALARM","NORMAL"))</f>
        <v>NORMAL</v>
      </c>
      <c r="H26" s="2"/>
    </row>
    <row r="27" spans="1:8">
      <c r="A27" s="3">
        <v>26</v>
      </c>
      <c r="B27" s="3" t="s">
        <v>73</v>
      </c>
      <c r="C27" s="3">
        <v>27.234000000000002</v>
      </c>
      <c r="D27" s="3">
        <v>241.78100000000001</v>
      </c>
      <c r="E27" s="3">
        <v>1.73</v>
      </c>
      <c r="F27" s="3">
        <v>77.771000000000001</v>
      </c>
      <c r="G27" s="3" t="str">
        <f>IF(OR(C27&gt;=75,D27&gt;=1500,E27&lt;=1.1,F27&gt;=110),"TRIP",IF(OR(C27&gt;=45,D27&gt;=500,E27&lt;=1.4,F27&gt;=95),"ALARM","NORMAL"))</f>
        <v>NORMAL</v>
      </c>
      <c r="H27" s="2"/>
    </row>
  </sheetData>
  <conditionalFormatting sqref="G2:G27">
    <cfRule type="cellIs" dxfId="2" priority="2" operator="equal">
      <formula>"TRIP"</formula>
    </cfRule>
    <cfRule type="cellIs" dxfId="1" priority="3" operator="equal">
      <formula>"ALARM"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defaultColWidth="8.7109375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74</v>
      </c>
      <c r="B1" s="9"/>
      <c r="C1" s="9"/>
    </row>
    <row r="3" spans="1:3">
      <c r="A3" s="4" t="s">
        <v>75</v>
      </c>
      <c r="B3" s="4" t="s">
        <v>76</v>
      </c>
      <c r="C3" s="4" t="s">
        <v>77</v>
      </c>
    </row>
    <row r="4" spans="1:3">
      <c r="A4" s="1" t="s">
        <v>78</v>
      </c>
      <c r="B4" s="3">
        <v>26</v>
      </c>
      <c r="C4" s="5" t="s">
        <v>79</v>
      </c>
    </row>
    <row r="5" spans="1:3">
      <c r="A5" s="1" t="s">
        <v>80</v>
      </c>
      <c r="B5" s="3">
        <v>32</v>
      </c>
      <c r="C5" s="5" t="s">
        <v>81</v>
      </c>
    </row>
    <row r="6" spans="1:3">
      <c r="A6" s="1" t="s">
        <v>82</v>
      </c>
      <c r="B6" s="3">
        <v>4368</v>
      </c>
      <c r="C6" s="5">
        <f>26*7*24</f>
        <v>4368</v>
      </c>
    </row>
    <row r="7" spans="1:3">
      <c r="A7" s="1" t="s">
        <v>83</v>
      </c>
      <c r="B7" s="6">
        <f>(1-32/4368)*100</f>
        <v>99.26739926739927</v>
      </c>
      <c r="C7" s="5" t="s">
        <v>84</v>
      </c>
    </row>
    <row r="8" spans="1:3">
      <c r="A8" s="1" t="s">
        <v>85</v>
      </c>
      <c r="B8" s="3">
        <v>1</v>
      </c>
      <c r="C8" s="5" t="s">
        <v>86</v>
      </c>
    </row>
    <row r="9" spans="1:3">
      <c r="A9" s="1" t="s">
        <v>87</v>
      </c>
      <c r="B9" s="3">
        <f>4368/1</f>
        <v>4368</v>
      </c>
      <c r="C9" s="5" t="s">
        <v>88</v>
      </c>
    </row>
    <row r="10" spans="1:3">
      <c r="A10" s="1" t="s">
        <v>89</v>
      </c>
      <c r="B10" s="3">
        <v>32</v>
      </c>
      <c r="C10" s="5" t="s">
        <v>90</v>
      </c>
    </row>
    <row r="11" spans="1:3">
      <c r="A11" s="1" t="s">
        <v>91</v>
      </c>
      <c r="B11" s="3">
        <f>COUNTIF('Condition History'!G2:G27,"ALARM")</f>
        <v>11</v>
      </c>
      <c r="C11" s="5" t="s">
        <v>92</v>
      </c>
    </row>
    <row r="12" spans="1:3">
      <c r="A12" s="1" t="s">
        <v>93</v>
      </c>
      <c r="B12" s="3">
        <f>COUNTIF('Condition History'!G2:G27,"TRIP")</f>
        <v>1</v>
      </c>
      <c r="C12" s="5" t="s">
        <v>94</v>
      </c>
    </row>
    <row r="13" spans="1:3">
      <c r="A13" s="1" t="s">
        <v>95</v>
      </c>
      <c r="B13" s="3">
        <f>COUNTIF('Condition History'!G2:G27,"NORMAL")</f>
        <v>14</v>
      </c>
      <c r="C13" s="5" t="s">
        <v>96</v>
      </c>
    </row>
    <row r="14" spans="1:3">
      <c r="A14" s="1" t="s">
        <v>97</v>
      </c>
      <c r="B14" s="6">
        <v>92</v>
      </c>
      <c r="C14" s="5" t="s">
        <v>98</v>
      </c>
    </row>
    <row r="15" spans="1:3">
      <c r="A15" s="1" t="s">
        <v>99</v>
      </c>
      <c r="B15" s="3">
        <v>1760</v>
      </c>
      <c r="C15" s="5" t="s">
        <v>100</v>
      </c>
    </row>
    <row r="16" spans="1:3">
      <c r="A16" s="1" t="s">
        <v>101</v>
      </c>
      <c r="B16" s="3">
        <v>1584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F20ED3-0DEA-4DBE-8031-3FAF4EF3776C}"/>
</file>

<file path=customXml/itemProps2.xml><?xml version="1.0" encoding="utf-8"?>
<ds:datastoreItem xmlns:ds="http://schemas.openxmlformats.org/officeDocument/2006/customXml" ds:itemID="{B5FE29C0-D49B-446D-9D57-96E9E3C0AA30}"/>
</file>

<file path=customXml/itemProps3.xml><?xml version="1.0" encoding="utf-8"?>
<ds:datastoreItem xmlns:ds="http://schemas.openxmlformats.org/officeDocument/2006/customXml" ds:itemID="{1A84F171-644D-4077-9ECB-AF2141239A4B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cp:revision>0</cp:revision>
  <dcterms:created xsi:type="dcterms:W3CDTF">2026-07-30T08:48:44Z</dcterms:created>
  <dcterms:modified xsi:type="dcterms:W3CDTF">2026-08-10T22:42:25Z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