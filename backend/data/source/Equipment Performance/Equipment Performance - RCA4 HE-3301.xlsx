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3" documentId="11_E1DECCA00E187CF3FE50D3AF6F64A6BC68730514" xr6:coauthVersionLast="47" xr6:coauthVersionMax="47" xr10:uidLastSave="{B22F4DC2-442E-4022-B7DD-24AB2B47A796}"/>
  <bookViews>
    <workbookView xWindow="0" yWindow="0" windowWidth="16384" windowHeight="8192" tabRatio="500" xr2:uid="{00000000-000D-0000-FFFF-FFFF00000000}"/>
  </bookViews>
  <sheets>
    <sheet name="Equipment Info" sheetId="1" r:id="rId1"/>
    <sheet name="Condition History" sheetId="2" r:id="rId2"/>
    <sheet name="Performance Summary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3" l="1"/>
  <c r="B7" i="3"/>
  <c r="C6" i="3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B13" i="3" l="1"/>
  <c r="B12" i="3"/>
  <c r="B11" i="3"/>
</calcChain>
</file>

<file path=xl/sharedStrings.xml><?xml version="1.0" encoding="utf-8"?>
<sst xmlns="http://schemas.openxmlformats.org/spreadsheetml/2006/main" count="105" uniqueCount="103">
  <si>
    <t>EQUIPMENT PERFORMANCE — CONDITION MONITORING RECORD</t>
  </si>
  <si>
    <t>NAMEPLATE / IDENTIFICATION</t>
  </si>
  <si>
    <t>MONITORED PARAMETERS &amp; LIMITS</t>
  </si>
  <si>
    <t>Equipment Tag</t>
  </si>
  <si>
    <t>HE-3301</t>
  </si>
  <si>
    <t>Parameter</t>
  </si>
  <si>
    <t>Alarm / Trip</t>
  </si>
  <si>
    <t>Equipment Name</t>
  </si>
  <si>
    <t>Feed/Effluent Heat Exchanger HE-3301</t>
  </si>
  <si>
    <t>Tube-side dP (bar)</t>
  </si>
  <si>
    <t>0.6 / 0.9</t>
  </si>
  <si>
    <t>Equipment Type</t>
  </si>
  <si>
    <t>Shell &amp; Tube Heat Exchanger</t>
  </si>
  <si>
    <t>Heat Duty (% design)</t>
  </si>
  <si>
    <t>90 / 70</t>
  </si>
  <si>
    <t>Equipment Class</t>
  </si>
  <si>
    <t>B</t>
  </si>
  <si>
    <t>Cold Outlet Temp (°C)</t>
  </si>
  <si>
    <t>110 / 95</t>
  </si>
  <si>
    <t>Plant / Unit</t>
  </si>
  <si>
    <t>Cracker Unit (ZCU)</t>
  </si>
  <si>
    <t>Feed Heavy-ends (%)</t>
  </si>
  <si>
    <t>1.5 / 2.4</t>
  </si>
  <si>
    <t>Discipline</t>
  </si>
  <si>
    <t>STA</t>
  </si>
  <si>
    <t>Criticality</t>
  </si>
  <si>
    <t>Medium</t>
  </si>
  <si>
    <t>Design Life</t>
  </si>
  <si>
    <t>5 years (bearing) / 24 months (seal element)</t>
  </si>
  <si>
    <t>Monitoring Method</t>
  </si>
  <si>
    <t>Online DCS + monthly vibration/thermography route</t>
  </si>
  <si>
    <t>Linked RCA / AR No.</t>
  </si>
  <si>
    <t>AR-2026-ZCU-0165</t>
  </si>
  <si>
    <t>Failure Date</t>
  </si>
  <si>
    <t>21-May-2026</t>
  </si>
  <si>
    <t>Dominant Failure Mode</t>
  </si>
  <si>
    <t>High Fouling — Duty Loss &amp; High dP</t>
  </si>
  <si>
    <t>Week</t>
  </si>
  <si>
    <t>Date</t>
  </si>
  <si>
    <t>Tube-side dP
(bar)</t>
  </si>
  <si>
    <t>Heat Duty
(% design)</t>
  </si>
  <si>
    <t>Cold Outlet Temp
(°C)</t>
  </si>
  <si>
    <t>Feed Heavy-ends
(%)</t>
  </si>
  <si>
    <t>Health Status</t>
  </si>
  <si>
    <t>Remark</t>
  </si>
  <si>
    <t>2026-01-01</t>
  </si>
  <si>
    <t>2026-01-08</t>
  </si>
  <si>
    <t>2026-01-15</t>
  </si>
  <si>
    <t>2026-01-22</t>
  </si>
  <si>
    <t>2026-01-29</t>
  </si>
  <si>
    <t>2026-02-05</t>
  </si>
  <si>
    <t>2026-02-12</t>
  </si>
  <si>
    <t>2026-02-19</t>
  </si>
  <si>
    <t>2026-02-26</t>
  </si>
  <si>
    <t>2026-03-05</t>
  </si>
  <si>
    <t>2026-03-12</t>
  </si>
  <si>
    <t>2026-03-19</t>
  </si>
  <si>
    <t>2026-03-26</t>
  </si>
  <si>
    <t>2026-04-02</t>
  </si>
  <si>
    <t>2026-04-09</t>
  </si>
  <si>
    <t>2026-04-16</t>
  </si>
  <si>
    <t>2026-04-23</t>
  </si>
  <si>
    <t>2026-04-30</t>
  </si>
  <si>
    <t>Degradation trend — under close monitoring</t>
  </si>
  <si>
    <t>2026-05-07</t>
  </si>
  <si>
    <t>2026-05-14</t>
  </si>
  <si>
    <t>2026-05-21</t>
  </si>
  <si>
    <t>FAILURE — High Fouling — Duty Loss &amp; High dP; unplanned downtime 12.0 h</t>
  </si>
  <si>
    <t>2026-05-28</t>
  </si>
  <si>
    <t>Post-repair baseline restored (CAPA executed)</t>
  </si>
  <si>
    <t>2026-06-04</t>
  </si>
  <si>
    <t>2026-06-11</t>
  </si>
  <si>
    <t>2026-06-18</t>
  </si>
  <si>
    <t>2026-06-25</t>
  </si>
  <si>
    <t>PERFORMANCE SUMMARY — HE-3301</t>
  </si>
  <si>
    <t>KPI</t>
  </si>
  <si>
    <t>Value</t>
  </si>
  <si>
    <t>Basis / Formula</t>
  </si>
  <si>
    <t>Monitoring Period (weeks)</t>
  </si>
  <si>
    <t>Number of weekly readings</t>
  </si>
  <si>
    <t>Total Downtime (hours)</t>
  </si>
  <si>
    <t>From linked RCA downtime window</t>
  </si>
  <si>
    <t>Period Hours</t>
  </si>
  <si>
    <t>Availability (%)</t>
  </si>
  <si>
    <t>(Period-Downtime)/Period</t>
  </si>
  <si>
    <t>No. of Failures (period)</t>
  </si>
  <si>
    <t>Failure events this period</t>
  </si>
  <si>
    <t>MTBF (hours)</t>
  </si>
  <si>
    <t>Period Hours / No. of Failures</t>
  </si>
  <si>
    <t>MTTR (hours)</t>
  </si>
  <si>
    <t>Mean time to repair</t>
  </si>
  <si>
    <t>ALARM readings</t>
  </si>
  <si>
    <t>Count of ALARM weeks</t>
  </si>
  <si>
    <t>TRIP readings</t>
  </si>
  <si>
    <t>Count of TRIP weeks</t>
  </si>
  <si>
    <t>NORMAL readings</t>
  </si>
  <si>
    <t>Count of NORMAL weeks</t>
  </si>
  <si>
    <t>PM Compliance (%)</t>
  </si>
  <si>
    <t>PM completed vs scheduled</t>
  </si>
  <si>
    <t>Production Loss (ton)</t>
  </si>
  <si>
    <t>Downtime x rate loss (from RCA)</t>
  </si>
  <si>
    <t>Estimated Loss (k USD)</t>
  </si>
  <si>
    <t>Production loss x 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</si>
</sst>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2" xfId="0" applyFont="1" applyFill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/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Normal="100" workbookViewId="0">
      <selection activeCell="B9" sqref="B9"/>
    </sheetView>
  </sheetViews>
  <sheetFormatPr defaultColWidth="8.7109375" defaultRowHeight="15"/>
  <cols>
    <col min="1" max="1" width="22" customWidth="1"/>
    <col min="2" max="2" width="30" customWidth="1"/>
    <col min="3" max="3" width="26" customWidth="1"/>
    <col min="4" max="4" width="16" customWidth="1"/>
  </cols>
  <sheetData>
    <row r="1" spans="1:4" ht="17.45" customHeight="1">
      <c r="A1" s="7" t="s">
        <v>0</v>
      </c>
      <c r="B1" s="7"/>
      <c r="C1" s="7"/>
      <c r="D1" s="7"/>
    </row>
    <row r="3" spans="1:4" ht="15" customHeight="1">
      <c r="A3" s="8" t="s">
        <v>1</v>
      </c>
      <c r="B3" s="8"/>
      <c r="C3" s="8" t="s">
        <v>2</v>
      </c>
      <c r="D3" s="8"/>
    </row>
    <row r="4" spans="1:4">
      <c r="A4" s="1" t="s">
        <v>3</v>
      </c>
      <c r="B4" s="2" t="s">
        <v>4</v>
      </c>
      <c r="C4" s="1" t="s">
        <v>5</v>
      </c>
      <c r="D4" s="1" t="s">
        <v>6</v>
      </c>
    </row>
    <row r="5" spans="1:4" ht="23.85">
      <c r="A5" s="1" t="s">
        <v>7</v>
      </c>
      <c r="B5" s="2" t="s">
        <v>8</v>
      </c>
      <c r="C5" s="2" t="s">
        <v>9</v>
      </c>
      <c r="D5" s="3" t="s">
        <v>10</v>
      </c>
    </row>
    <row r="6" spans="1:4">
      <c r="A6" s="1" t="s">
        <v>11</v>
      </c>
      <c r="B6" s="2" t="s">
        <v>12</v>
      </c>
      <c r="C6" s="2" t="s">
        <v>13</v>
      </c>
      <c r="D6" s="3" t="s">
        <v>14</v>
      </c>
    </row>
    <row r="7" spans="1:4">
      <c r="A7" s="1" t="s">
        <v>15</v>
      </c>
      <c r="B7" s="2" t="s">
        <v>16</v>
      </c>
      <c r="C7" s="2" t="s">
        <v>17</v>
      </c>
      <c r="D7" s="3" t="s">
        <v>18</v>
      </c>
    </row>
    <row r="8" spans="1:4">
      <c r="A8" s="1" t="s">
        <v>19</v>
      </c>
      <c r="B8" s="2" t="s">
        <v>20</v>
      </c>
      <c r="C8" s="2" t="s">
        <v>21</v>
      </c>
      <c r="D8" s="3" t="s">
        <v>22</v>
      </c>
    </row>
    <row r="9" spans="1:4">
      <c r="A9" s="1" t="s">
        <v>23</v>
      </c>
      <c r="B9" s="2" t="s">
        <v>24</v>
      </c>
    </row>
    <row r="10" spans="1:4">
      <c r="A10" s="1" t="s">
        <v>25</v>
      </c>
      <c r="B10" s="2" t="s">
        <v>26</v>
      </c>
    </row>
    <row r="11" spans="1:4" ht="23.85">
      <c r="A11" s="1" t="s">
        <v>27</v>
      </c>
      <c r="B11" s="2" t="s">
        <v>28</v>
      </c>
    </row>
    <row r="12" spans="1:4" ht="23.85">
      <c r="A12" s="1" t="s">
        <v>29</v>
      </c>
      <c r="B12" s="2" t="s">
        <v>30</v>
      </c>
    </row>
    <row r="13" spans="1:4">
      <c r="A13" s="1" t="s">
        <v>31</v>
      </c>
      <c r="B13" s="2" t="s">
        <v>32</v>
      </c>
    </row>
    <row r="14" spans="1:4">
      <c r="A14" s="1" t="s">
        <v>33</v>
      </c>
      <c r="B14" s="2" t="s">
        <v>34</v>
      </c>
    </row>
    <row r="15" spans="1:4" ht="23.85">
      <c r="A15" s="1" t="s">
        <v>35</v>
      </c>
      <c r="B15" s="2" t="s">
        <v>36</v>
      </c>
    </row>
  </sheetData>
  <mergeCells count="3">
    <mergeCell ref="A1:D1"/>
    <mergeCell ref="A3:B3"/>
    <mergeCell ref="C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6" customWidth="1"/>
    <col min="2" max="2" width="12" customWidth="1"/>
    <col min="3" max="7" width="13" customWidth="1"/>
    <col min="8" max="8" width="42" customWidth="1"/>
  </cols>
  <sheetData>
    <row r="1" spans="1:8" ht="33.75" customHeight="1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>
      <c r="A2" s="3">
        <v>1</v>
      </c>
      <c r="B2" s="3" t="s">
        <v>45</v>
      </c>
      <c r="C2" s="3">
        <v>0.35499999999999998</v>
      </c>
      <c r="D2" s="3">
        <v>100.285</v>
      </c>
      <c r="E2" s="3">
        <v>120.151</v>
      </c>
      <c r="F2" s="3">
        <v>1.169</v>
      </c>
      <c r="G2" s="3" t="str">
        <f>IF(OR(C2&gt;=0.9,D2&lt;=70,E2&lt;=95,F2&gt;=2.4),"TRIP",IF(OR(C2&gt;=0.6,D2&lt;=90,E2&lt;=110,F2&gt;=1.5),"ALARM","NORMAL"))</f>
        <v>NORMAL</v>
      </c>
      <c r="H2" s="2"/>
    </row>
    <row r="3" spans="1:8">
      <c r="A3" s="3">
        <v>2</v>
      </c>
      <c r="B3" s="3" t="s">
        <v>46</v>
      </c>
      <c r="C3" s="3">
        <v>0.35499999999999998</v>
      </c>
      <c r="D3" s="3">
        <v>99.864999999999995</v>
      </c>
      <c r="E3" s="3">
        <v>119.916</v>
      </c>
      <c r="F3" s="3">
        <v>1.2190000000000001</v>
      </c>
      <c r="G3" s="3" t="str">
        <f>IF(OR(C3&gt;=0.9,D3&lt;=70,E3&lt;=95,F3&gt;=2.4),"TRIP",IF(OR(C3&gt;=0.6,D3&lt;=90,E3&lt;=110,F3&gt;=1.5),"ALARM","NORMAL"))</f>
        <v>NORMAL</v>
      </c>
      <c r="H3" s="2"/>
    </row>
    <row r="4" spans="1:8">
      <c r="A4" s="3">
        <v>3</v>
      </c>
      <c r="B4" s="3" t="s">
        <v>47</v>
      </c>
      <c r="C4" s="3">
        <v>0.34699999999999998</v>
      </c>
      <c r="D4" s="3">
        <v>100.65900000000001</v>
      </c>
      <c r="E4" s="3">
        <v>119.75700000000001</v>
      </c>
      <c r="F4" s="3">
        <v>1.2090000000000001</v>
      </c>
      <c r="G4" s="3" t="str">
        <f>IF(OR(C4&gt;=0.9,D4&lt;=70,E4&lt;=95,F4&gt;=2.4),"TRIP",IF(OR(C4&gt;=0.6,D4&lt;=90,E4&lt;=110,F4&gt;=1.5),"ALARM","NORMAL"))</f>
        <v>NORMAL</v>
      </c>
      <c r="H4" s="2"/>
    </row>
    <row r="5" spans="1:8">
      <c r="A5" s="3">
        <v>4</v>
      </c>
      <c r="B5" s="3" t="s">
        <v>48</v>
      </c>
      <c r="C5" s="3">
        <v>0.33700000000000002</v>
      </c>
      <c r="D5" s="3">
        <v>98.944000000000003</v>
      </c>
      <c r="E5" s="3">
        <v>118.962</v>
      </c>
      <c r="F5" s="3">
        <v>1.2370000000000001</v>
      </c>
      <c r="G5" s="3" t="str">
        <f>IF(OR(C5&gt;=0.9,D5&lt;=70,E5&lt;=95,F5&gt;=2.4),"TRIP",IF(OR(C5&gt;=0.6,D5&lt;=90,E5&lt;=110,F5&gt;=1.5),"ALARM","NORMAL"))</f>
        <v>NORMAL</v>
      </c>
      <c r="H5" s="2"/>
    </row>
    <row r="6" spans="1:8">
      <c r="A6" s="3">
        <v>5</v>
      </c>
      <c r="B6" s="3" t="s">
        <v>49</v>
      </c>
      <c r="C6" s="3">
        <v>0.37</v>
      </c>
      <c r="D6" s="3">
        <v>98.631</v>
      </c>
      <c r="E6" s="3">
        <v>119.005</v>
      </c>
      <c r="F6" s="3">
        <v>1.2629999999999999</v>
      </c>
      <c r="G6" s="3" t="str">
        <f>IF(OR(C6&gt;=0.9,D6&lt;=70,E6&lt;=95,F6&gt;=2.4),"TRIP",IF(OR(C6&gt;=0.6,D6&lt;=90,E6&lt;=110,F6&gt;=1.5),"ALARM","NORMAL"))</f>
        <v>NORMAL</v>
      </c>
      <c r="H6" s="2"/>
    </row>
    <row r="7" spans="1:8">
      <c r="A7" s="3">
        <v>6</v>
      </c>
      <c r="B7" s="3" t="s">
        <v>50</v>
      </c>
      <c r="C7" s="3">
        <v>0.377</v>
      </c>
      <c r="D7" s="3">
        <v>97.271000000000001</v>
      </c>
      <c r="E7" s="3">
        <v>118.131</v>
      </c>
      <c r="F7" s="3">
        <v>1.3009999999999999</v>
      </c>
      <c r="G7" s="3" t="str">
        <f>IF(OR(C7&gt;=0.9,D7&lt;=70,E7&lt;=95,F7&gt;=2.4),"TRIP",IF(OR(C7&gt;=0.6,D7&lt;=90,E7&lt;=110,F7&gt;=1.5),"ALARM","NORMAL"))</f>
        <v>NORMAL</v>
      </c>
      <c r="H7" s="2"/>
    </row>
    <row r="8" spans="1:8">
      <c r="A8" s="3">
        <v>7</v>
      </c>
      <c r="B8" s="3" t="s">
        <v>51</v>
      </c>
      <c r="C8" s="3">
        <v>0.39900000000000002</v>
      </c>
      <c r="D8" s="3">
        <v>96.483999999999995</v>
      </c>
      <c r="E8" s="3">
        <v>118.23399999999999</v>
      </c>
      <c r="F8" s="3">
        <v>1.254</v>
      </c>
      <c r="G8" s="3" t="str">
        <f>IF(OR(C8&gt;=0.9,D8&lt;=70,E8&lt;=95,F8&gt;=2.4),"TRIP",IF(OR(C8&gt;=0.6,D8&lt;=90,E8&lt;=110,F8&gt;=1.5),"ALARM","NORMAL"))</f>
        <v>NORMAL</v>
      </c>
      <c r="H8" s="2"/>
    </row>
    <row r="9" spans="1:8">
      <c r="A9" s="3">
        <v>8</v>
      </c>
      <c r="B9" s="3" t="s">
        <v>52</v>
      </c>
      <c r="C9" s="3">
        <v>0.42099999999999999</v>
      </c>
      <c r="D9" s="3">
        <v>96.59</v>
      </c>
      <c r="E9" s="3">
        <v>116.94499999999999</v>
      </c>
      <c r="F9" s="3">
        <v>1.321</v>
      </c>
      <c r="G9" s="3" t="str">
        <f>IF(OR(C9&gt;=0.9,D9&lt;=70,E9&lt;=95,F9&gt;=2.4),"TRIP",IF(OR(C9&gt;=0.6,D9&lt;=90,E9&lt;=110,F9&gt;=1.5),"ALARM","NORMAL"))</f>
        <v>NORMAL</v>
      </c>
      <c r="H9" s="2"/>
    </row>
    <row r="10" spans="1:8">
      <c r="A10" s="3">
        <v>9</v>
      </c>
      <c r="B10" s="3" t="s">
        <v>53</v>
      </c>
      <c r="C10" s="3">
        <v>0.45800000000000002</v>
      </c>
      <c r="D10" s="3">
        <v>95.814999999999998</v>
      </c>
      <c r="E10" s="3">
        <v>116.352</v>
      </c>
      <c r="F10" s="3">
        <v>1.337</v>
      </c>
      <c r="G10" s="3" t="str">
        <f>IF(OR(C10&gt;=0.9,D10&lt;=70,E10&lt;=95,F10&gt;=2.4),"TRIP",IF(OR(C10&gt;=0.6,D10&lt;=90,E10&lt;=110,F10&gt;=1.5),"ALARM","NORMAL"))</f>
        <v>NORMAL</v>
      </c>
      <c r="H10" s="2"/>
    </row>
    <row r="11" spans="1:8">
      <c r="A11" s="3">
        <v>10</v>
      </c>
      <c r="B11" s="3" t="s">
        <v>54</v>
      </c>
      <c r="C11" s="3">
        <v>0.45500000000000002</v>
      </c>
      <c r="D11" s="3">
        <v>94.48</v>
      </c>
      <c r="E11" s="3">
        <v>115.188</v>
      </c>
      <c r="F11" s="3">
        <v>1.476</v>
      </c>
      <c r="G11" s="3" t="str">
        <f>IF(OR(C11&gt;=0.9,D11&lt;=70,E11&lt;=95,F11&gt;=2.4),"TRIP",IF(OR(C11&gt;=0.6,D11&lt;=90,E11&lt;=110,F11&gt;=1.5),"ALARM","NORMAL"))</f>
        <v>NORMAL</v>
      </c>
      <c r="H11" s="2"/>
    </row>
    <row r="12" spans="1:8">
      <c r="A12" s="3">
        <v>11</v>
      </c>
      <c r="B12" s="3" t="s">
        <v>55</v>
      </c>
      <c r="C12" s="3">
        <v>0.496</v>
      </c>
      <c r="D12" s="3">
        <v>93.081999999999994</v>
      </c>
      <c r="E12" s="3">
        <v>113.71</v>
      </c>
      <c r="F12" s="3">
        <v>1.5</v>
      </c>
      <c r="G12" s="3" t="str">
        <f>IF(OR(C12&gt;=0.9,D12&lt;=70,E12&lt;=95,F12&gt;=2.4),"TRIP",IF(OR(C12&gt;=0.6,D12&lt;=90,E12&lt;=110,F12&gt;=1.5),"ALARM","NORMAL"))</f>
        <v>ALARM</v>
      </c>
      <c r="H12" s="2"/>
    </row>
    <row r="13" spans="1:8">
      <c r="A13" s="3">
        <v>12</v>
      </c>
      <c r="B13" s="3" t="s">
        <v>56</v>
      </c>
      <c r="C13" s="3">
        <v>0.51700000000000002</v>
      </c>
      <c r="D13" s="3">
        <v>90.36</v>
      </c>
      <c r="E13" s="3">
        <v>112.245</v>
      </c>
      <c r="F13" s="3">
        <v>1.552</v>
      </c>
      <c r="G13" s="3" t="str">
        <f>IF(OR(C13&gt;=0.9,D13&lt;=70,E13&lt;=95,F13&gt;=2.4),"TRIP",IF(OR(C13&gt;=0.6,D13&lt;=90,E13&lt;=110,F13&gt;=1.5),"ALARM","NORMAL"))</f>
        <v>ALARM</v>
      </c>
      <c r="H13" s="2"/>
    </row>
    <row r="14" spans="1:8">
      <c r="A14" s="3">
        <v>13</v>
      </c>
      <c r="B14" s="3" t="s">
        <v>57</v>
      </c>
      <c r="C14" s="3">
        <v>0.54</v>
      </c>
      <c r="D14" s="3">
        <v>90.323999999999998</v>
      </c>
      <c r="E14" s="3">
        <v>110.721</v>
      </c>
      <c r="F14" s="3">
        <v>1.631</v>
      </c>
      <c r="G14" s="3" t="str">
        <f>IF(OR(C14&gt;=0.9,D14&lt;=70,E14&lt;=95,F14&gt;=2.4),"TRIP",IF(OR(C14&gt;=0.6,D14&lt;=90,E14&lt;=110,F14&gt;=1.5),"ALARM","NORMAL"))</f>
        <v>ALARM</v>
      </c>
      <c r="H14" s="2"/>
    </row>
    <row r="15" spans="1:8">
      <c r="A15" s="3">
        <v>14</v>
      </c>
      <c r="B15" s="3" t="s">
        <v>58</v>
      </c>
      <c r="C15" s="3">
        <v>0.56999999999999995</v>
      </c>
      <c r="D15" s="3">
        <v>87.662000000000006</v>
      </c>
      <c r="E15" s="3">
        <v>109.747</v>
      </c>
      <c r="F15" s="3">
        <v>1.7250000000000001</v>
      </c>
      <c r="G15" s="3" t="str">
        <f>IF(OR(C15&gt;=0.9,D15&lt;=70,E15&lt;=95,F15&gt;=2.4),"TRIP",IF(OR(C15&gt;=0.6,D15&lt;=90,E15&lt;=110,F15&gt;=1.5),"ALARM","NORMAL"))</f>
        <v>ALARM</v>
      </c>
      <c r="H15" s="2"/>
    </row>
    <row r="16" spans="1:8">
      <c r="A16" s="3">
        <v>15</v>
      </c>
      <c r="B16" s="3" t="s">
        <v>59</v>
      </c>
      <c r="C16" s="3">
        <v>0.60199999999999998</v>
      </c>
      <c r="D16" s="3">
        <v>85.105000000000004</v>
      </c>
      <c r="E16" s="3">
        <v>108.077</v>
      </c>
      <c r="F16" s="3">
        <v>1.7909999999999999</v>
      </c>
      <c r="G16" s="3" t="str">
        <f>IF(OR(C16&gt;=0.9,D16&lt;=70,E16&lt;=95,F16&gt;=2.4),"TRIP",IF(OR(C16&gt;=0.6,D16&lt;=90,E16&lt;=110,F16&gt;=1.5),"ALARM","NORMAL"))</f>
        <v>ALARM</v>
      </c>
      <c r="H16" s="2"/>
    </row>
    <row r="17" spans="1:8">
      <c r="A17" s="3">
        <v>16</v>
      </c>
      <c r="B17" s="3" t="s">
        <v>60</v>
      </c>
      <c r="C17" s="3">
        <v>0.63500000000000001</v>
      </c>
      <c r="D17" s="3">
        <v>83.143000000000001</v>
      </c>
      <c r="E17" s="3">
        <v>105.479</v>
      </c>
      <c r="F17" s="3">
        <v>1.837</v>
      </c>
      <c r="G17" s="3" t="str">
        <f>IF(OR(C17&gt;=0.9,D17&lt;=70,E17&lt;=95,F17&gt;=2.4),"TRIP",IF(OR(C17&gt;=0.6,D17&lt;=90,E17&lt;=110,F17&gt;=1.5),"ALARM","NORMAL"))</f>
        <v>ALARM</v>
      </c>
      <c r="H17" s="2"/>
    </row>
    <row r="18" spans="1:8">
      <c r="A18" s="3">
        <v>17</v>
      </c>
      <c r="B18" s="3" t="s">
        <v>61</v>
      </c>
      <c r="C18" s="3">
        <v>0.70499999999999996</v>
      </c>
      <c r="D18" s="3">
        <v>80.3</v>
      </c>
      <c r="E18" s="3">
        <v>103.84099999999999</v>
      </c>
      <c r="F18" s="3">
        <v>1.9790000000000001</v>
      </c>
      <c r="G18" s="3" t="str">
        <f>IF(OR(C18&gt;=0.9,D18&lt;=70,E18&lt;=95,F18&gt;=2.4),"TRIP",IF(OR(C18&gt;=0.6,D18&lt;=90,E18&lt;=110,F18&gt;=1.5),"ALARM","NORMAL"))</f>
        <v>ALARM</v>
      </c>
      <c r="H18" s="2"/>
    </row>
    <row r="19" spans="1:8">
      <c r="A19" s="3">
        <v>18</v>
      </c>
      <c r="B19" s="3" t="s">
        <v>62</v>
      </c>
      <c r="C19" s="3">
        <v>0.751</v>
      </c>
      <c r="D19" s="3">
        <v>77.894999999999996</v>
      </c>
      <c r="E19" s="3">
        <v>102.087</v>
      </c>
      <c r="F19" s="3">
        <v>2.0939999999999999</v>
      </c>
      <c r="G19" s="3" t="str">
        <f>IF(OR(C19&gt;=0.9,D19&lt;=70,E19&lt;=95,F19&gt;=2.4),"TRIP",IF(OR(C19&gt;=0.6,D19&lt;=90,E19&lt;=110,F19&gt;=1.5),"ALARM","NORMAL"))</f>
        <v>ALARM</v>
      </c>
      <c r="H19" s="2" t="s">
        <v>63</v>
      </c>
    </row>
    <row r="20" spans="1:8">
      <c r="A20" s="3">
        <v>19</v>
      </c>
      <c r="B20" s="3" t="s">
        <v>64</v>
      </c>
      <c r="C20" s="3">
        <v>0.78500000000000003</v>
      </c>
      <c r="D20" s="3">
        <v>75.867999999999995</v>
      </c>
      <c r="E20" s="3">
        <v>99.789000000000001</v>
      </c>
      <c r="F20" s="3">
        <v>2.161</v>
      </c>
      <c r="G20" s="3" t="str">
        <f>IF(OR(C20&gt;=0.9,D20&lt;=70,E20&lt;=95,F20&gt;=2.4),"TRIP",IF(OR(C20&gt;=0.6,D20&lt;=90,E20&lt;=110,F20&gt;=1.5),"ALARM","NORMAL"))</f>
        <v>ALARM</v>
      </c>
      <c r="H20" s="2" t="s">
        <v>63</v>
      </c>
    </row>
    <row r="21" spans="1:8">
      <c r="A21" s="3">
        <v>20</v>
      </c>
      <c r="B21" s="3" t="s">
        <v>65</v>
      </c>
      <c r="C21" s="3">
        <v>0.85399999999999998</v>
      </c>
      <c r="D21" s="3">
        <v>72.706000000000003</v>
      </c>
      <c r="E21" s="3">
        <v>97.921999999999997</v>
      </c>
      <c r="F21" s="3">
        <v>2.2879999999999998</v>
      </c>
      <c r="G21" s="3" t="str">
        <f>IF(OR(C21&gt;=0.9,D21&lt;=70,E21&lt;=95,F21&gt;=2.4),"TRIP",IF(OR(C21&gt;=0.6,D21&lt;=90,E21&lt;=110,F21&gt;=1.5),"ALARM","NORMAL"))</f>
        <v>ALARM</v>
      </c>
      <c r="H21" s="2" t="s">
        <v>63</v>
      </c>
    </row>
    <row r="22" spans="1:8" ht="23.85">
      <c r="A22" s="3">
        <v>21</v>
      </c>
      <c r="B22" s="3" t="s">
        <v>66</v>
      </c>
      <c r="C22" s="3">
        <v>0.91800000000000004</v>
      </c>
      <c r="D22" s="3">
        <v>68.599999999999994</v>
      </c>
      <c r="E22" s="3">
        <v>93.1</v>
      </c>
      <c r="F22" s="3">
        <v>2.448</v>
      </c>
      <c r="G22" s="3" t="str">
        <f>IF(OR(C22&gt;=0.9,D22&lt;=70,E22&lt;=95,F22&gt;=2.4),"TRIP",IF(OR(C22&gt;=0.6,D22&lt;=90,E22&lt;=110,F22&gt;=1.5),"ALARM","NORMAL"))</f>
        <v>TRIP</v>
      </c>
      <c r="H22" s="2" t="s">
        <v>67</v>
      </c>
    </row>
    <row r="23" spans="1:8">
      <c r="A23" s="3">
        <v>22</v>
      </c>
      <c r="B23" s="3" t="s">
        <v>68</v>
      </c>
      <c r="C23" s="3">
        <v>0.33700000000000002</v>
      </c>
      <c r="D23" s="3">
        <v>98.430999999999997</v>
      </c>
      <c r="E23" s="3">
        <v>120.861</v>
      </c>
      <c r="F23" s="3">
        <v>1.246</v>
      </c>
      <c r="G23" s="3" t="str">
        <f>IF(OR(C23&gt;=0.9,D23&lt;=70,E23&lt;=95,F23&gt;=2.4),"TRIP",IF(OR(C23&gt;=0.6,D23&lt;=90,E23&lt;=110,F23&gt;=1.5),"ALARM","NORMAL"))</f>
        <v>NORMAL</v>
      </c>
      <c r="H23" s="2" t="s">
        <v>69</v>
      </c>
    </row>
    <row r="24" spans="1:8">
      <c r="A24" s="3">
        <v>23</v>
      </c>
      <c r="B24" s="3" t="s">
        <v>70</v>
      </c>
      <c r="C24" s="3">
        <v>0.316</v>
      </c>
      <c r="D24" s="3">
        <v>94.81</v>
      </c>
      <c r="E24" s="3">
        <v>116.07299999999999</v>
      </c>
      <c r="F24" s="3">
        <v>1.1240000000000001</v>
      </c>
      <c r="G24" s="3" t="str">
        <f>IF(OR(C24&gt;=0.9,D24&lt;=70,E24&lt;=95,F24&gt;=2.4),"TRIP",IF(OR(C24&gt;=0.6,D24&lt;=90,E24&lt;=110,F24&gt;=1.5),"ALARM","NORMAL"))</f>
        <v>NORMAL</v>
      </c>
      <c r="H24" s="2"/>
    </row>
    <row r="25" spans="1:8">
      <c r="A25" s="3">
        <v>24</v>
      </c>
      <c r="B25" s="3" t="s">
        <v>71</v>
      </c>
      <c r="C25" s="3">
        <v>0.31900000000000001</v>
      </c>
      <c r="D25" s="3">
        <v>100.654</v>
      </c>
      <c r="E25" s="3">
        <v>118.93600000000001</v>
      </c>
      <c r="F25" s="3">
        <v>1.1539999999999999</v>
      </c>
      <c r="G25" s="3" t="str">
        <f>IF(OR(C25&gt;=0.9,D25&lt;=70,E25&lt;=95,F25&gt;=2.4),"TRIP",IF(OR(C25&gt;=0.6,D25&lt;=90,E25&lt;=110,F25&gt;=1.5),"ALARM","NORMAL"))</f>
        <v>NORMAL</v>
      </c>
      <c r="H25" s="2"/>
    </row>
    <row r="26" spans="1:8">
      <c r="A26" s="3">
        <v>25</v>
      </c>
      <c r="B26" s="3" t="s">
        <v>72</v>
      </c>
      <c r="C26" s="3">
        <v>0.35799999999999998</v>
      </c>
      <c r="D26" s="3">
        <v>102.194</v>
      </c>
      <c r="E26" s="3">
        <v>116.94799999999999</v>
      </c>
      <c r="F26" s="3">
        <v>1.1779999999999999</v>
      </c>
      <c r="G26" s="3" t="str">
        <f>IF(OR(C26&gt;=0.9,D26&lt;=70,E26&lt;=95,F26&gt;=2.4),"TRIP",IF(OR(C26&gt;=0.6,D26&lt;=90,E26&lt;=110,F26&gt;=1.5),"ALARM","NORMAL"))</f>
        <v>NORMAL</v>
      </c>
      <c r="H26" s="2"/>
    </row>
    <row r="27" spans="1:8">
      <c r="A27" s="3">
        <v>26</v>
      </c>
      <c r="B27" s="3" t="s">
        <v>73</v>
      </c>
      <c r="C27" s="3">
        <v>0.35199999999999998</v>
      </c>
      <c r="D27" s="3">
        <v>96.643000000000001</v>
      </c>
      <c r="E27" s="3">
        <v>115.47499999999999</v>
      </c>
      <c r="F27" s="3">
        <v>1.1819999999999999</v>
      </c>
      <c r="G27" s="3" t="str">
        <f>IF(OR(C27&gt;=0.9,D27&lt;=70,E27&lt;=95,F27&gt;=2.4),"TRIP",IF(OR(C27&gt;=0.6,D27&lt;=90,E27&lt;=110,F27&gt;=1.5),"ALARM","NORMAL"))</f>
        <v>NORMAL</v>
      </c>
      <c r="H27" s="2"/>
    </row>
  </sheetData>
  <conditionalFormatting sqref="G2:G27">
    <cfRule type="cellIs" dxfId="2" priority="2" operator="equal">
      <formula>"TRIP"</formula>
    </cfRule>
    <cfRule type="cellIs" dxfId="1" priority="3" operator="equal">
      <formula>"ALARM"</formula>
    </cfRule>
    <cfRule type="cellIs" dxfId="0" priority="4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/>
  </sheetViews>
  <sheetFormatPr defaultColWidth="8.7109375" defaultRowHeight="15"/>
  <cols>
    <col min="1" max="1" width="28" customWidth="1"/>
    <col min="2" max="2" width="16" customWidth="1"/>
    <col min="3" max="3" width="34" customWidth="1"/>
  </cols>
  <sheetData>
    <row r="1" spans="1:3" ht="17.45">
      <c r="A1" s="9" t="s">
        <v>74</v>
      </c>
      <c r="B1" s="9"/>
      <c r="C1" s="9"/>
    </row>
    <row r="3" spans="1:3">
      <c r="A3" s="4" t="s">
        <v>75</v>
      </c>
      <c r="B3" s="4" t="s">
        <v>76</v>
      </c>
      <c r="C3" s="4" t="s">
        <v>77</v>
      </c>
    </row>
    <row r="4" spans="1:3">
      <c r="A4" s="1" t="s">
        <v>78</v>
      </c>
      <c r="B4" s="3">
        <v>26</v>
      </c>
      <c r="C4" s="5" t="s">
        <v>79</v>
      </c>
    </row>
    <row r="5" spans="1:3">
      <c r="A5" s="1" t="s">
        <v>80</v>
      </c>
      <c r="B5" s="3">
        <v>12</v>
      </c>
      <c r="C5" s="5" t="s">
        <v>81</v>
      </c>
    </row>
    <row r="6" spans="1:3">
      <c r="A6" s="1" t="s">
        <v>82</v>
      </c>
      <c r="B6" s="3">
        <v>4368</v>
      </c>
      <c r="C6" s="5">
        <f>26*7*24</f>
        <v>4368</v>
      </c>
    </row>
    <row r="7" spans="1:3">
      <c r="A7" s="1" t="s">
        <v>83</v>
      </c>
      <c r="B7" s="6">
        <f>(1-12/4368)*100</f>
        <v>99.72527472527473</v>
      </c>
      <c r="C7" s="5" t="s">
        <v>84</v>
      </c>
    </row>
    <row r="8" spans="1:3">
      <c r="A8" s="1" t="s">
        <v>85</v>
      </c>
      <c r="B8" s="3">
        <v>1</v>
      </c>
      <c r="C8" s="5" t="s">
        <v>86</v>
      </c>
    </row>
    <row r="9" spans="1:3">
      <c r="A9" s="1" t="s">
        <v>87</v>
      </c>
      <c r="B9" s="3">
        <f>4368/1</f>
        <v>4368</v>
      </c>
      <c r="C9" s="5" t="s">
        <v>88</v>
      </c>
    </row>
    <row r="10" spans="1:3">
      <c r="A10" s="1" t="s">
        <v>89</v>
      </c>
      <c r="B10" s="3">
        <v>12</v>
      </c>
      <c r="C10" s="5" t="s">
        <v>90</v>
      </c>
    </row>
    <row r="11" spans="1:3">
      <c r="A11" s="1" t="s">
        <v>91</v>
      </c>
      <c r="B11" s="3">
        <f>COUNTIF('Condition History'!G2:G27,"ALARM")</f>
        <v>10</v>
      </c>
      <c r="C11" s="5" t="s">
        <v>92</v>
      </c>
    </row>
    <row r="12" spans="1:3">
      <c r="A12" s="1" t="s">
        <v>93</v>
      </c>
      <c r="B12" s="3">
        <f>COUNTIF('Condition History'!G2:G27,"TRIP")</f>
        <v>1</v>
      </c>
      <c r="C12" s="5" t="s">
        <v>94</v>
      </c>
    </row>
    <row r="13" spans="1:3">
      <c r="A13" s="1" t="s">
        <v>95</v>
      </c>
      <c r="B13" s="3">
        <f>COUNTIF('Condition History'!G2:G27,"NORMAL")</f>
        <v>15</v>
      </c>
      <c r="C13" s="5" t="s">
        <v>96</v>
      </c>
    </row>
    <row r="14" spans="1:3">
      <c r="A14" s="1" t="s">
        <v>97</v>
      </c>
      <c r="B14" s="6">
        <v>92</v>
      </c>
      <c r="C14" s="5" t="s">
        <v>98</v>
      </c>
    </row>
    <row r="15" spans="1:3">
      <c r="A15" s="1" t="s">
        <v>99</v>
      </c>
      <c r="B15" s="3">
        <v>216</v>
      </c>
      <c r="C15" s="5" t="s">
        <v>100</v>
      </c>
    </row>
    <row r="16" spans="1:3">
      <c r="A16" s="1" t="s">
        <v>101</v>
      </c>
      <c r="B16" s="3">
        <v>183.6</v>
      </c>
      <c r="C16" s="5" t="s">
        <v>102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1efe2-5848-4835-ba9f-8faf6945352d" xsi:nil="true"/>
    <lcf76f155ced4ddcb4097134ff3c332f xmlns="831850e5-ca91-43e1-afa5-cf72b3205c9b">
      <Terms xmlns="http://schemas.microsoft.com/office/infopath/2007/PartnerControls"/>
    </lcf76f155ced4ddcb4097134ff3c332f>
    <Status xmlns="831850e5-ca91-43e1-afa5-cf72b3205c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C4518E1ED9C4C808F6F104771DAF4" ma:contentTypeVersion="18" ma:contentTypeDescription="Create a new document." ma:contentTypeScope="" ma:versionID="58198918a17d838bcb25a0e6a8e7af6d">
  <xsd:schema xmlns:xsd="http://www.w3.org/2001/XMLSchema" xmlns:xs="http://www.w3.org/2001/XMLSchema" xmlns:p="http://schemas.microsoft.com/office/2006/metadata/properties" xmlns:ns2="831850e5-ca91-43e1-afa5-cf72b3205c9b" xmlns:ns3="0a71efe2-5848-4835-ba9f-8faf6945352d" targetNamespace="http://schemas.microsoft.com/office/2006/metadata/properties" ma:root="true" ma:fieldsID="dbb7d9c8a963165d3a7bcebf80db274b" ns2:_="" ns3:_="">
    <xsd:import namespace="831850e5-ca91-43e1-afa5-cf72b3205c9b"/>
    <xsd:import namespace="0a71efe2-5848-4835-ba9f-8faf694535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850e5-ca91-43e1-afa5-cf72b3205c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4cbfe34-5b9c-4d8b-9c6a-ff67f326de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3" nillable="true" ma:displayName="Status" ma:description="Status activity" ma:format="Dropdown" ma:internalName="Status">
      <xsd:simpleType>
        <xsd:restriction base="dms:Choice">
          <xsd:enumeration value="To do"/>
          <xsd:enumeration value="In Progress"/>
          <xsd:enumeration value="Complete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1efe2-5848-4835-ba9f-8faf6945352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ccd0597-706a-4593-b691-8b842788275c}" ma:internalName="TaxCatchAll" ma:showField="CatchAllData" ma:web="0a71efe2-5848-4835-ba9f-8faf694535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53BCD7-2437-47B8-9889-F037AAC9000E}"/>
</file>

<file path=customXml/itemProps2.xml><?xml version="1.0" encoding="utf-8"?>
<ds:datastoreItem xmlns:ds="http://schemas.openxmlformats.org/officeDocument/2006/customXml" ds:itemID="{C4939D66-E2F9-4C09-9ABB-9A10EC241FD5}"/>
</file>

<file path=customXml/itemProps3.xml><?xml version="1.0" encoding="utf-8"?>
<ds:datastoreItem xmlns:ds="http://schemas.openxmlformats.org/officeDocument/2006/customXml" ds:itemID="{DF0F6946-2A65-4E07-B4CD-B21948EF4728}"/>
</file>

<file path=docMetadata/LabelInfo.xml><?xml version="1.0" encoding="utf-8"?>
<clbl:labelList xmlns:clbl="http://schemas.microsoft.com/office/2020/mipLabelMetadata">
  <clbl:label id="{26ac4c88-3875-4bc2-aac4-371aa6c119c2}" enabled="1" method="Standard" siteId="{a289e960-a538-4db3-adf0-845b57e616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Alif Agung Priambodo - RAI</cp:lastModifiedBy>
  <cp:revision>0</cp:revision>
  <dcterms:created xsi:type="dcterms:W3CDTF">2026-07-30T08:48:44Z</dcterms:created>
  <dcterms:modified xsi:type="dcterms:W3CDTF">2026-08-10T22:41:59Z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0x010100F52C4518E1ED9C4C808F6F104771DAF4</vt:lpwstr>
  </property>
  <property fmtid="{D5CDD505-2E9C-101B-9397-08002B2CF9AE}" pid="3" name="MediaServiceImageTags">
    <vt:lpwstr/>
  </property>
</Properties>
</file>