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" documentId="11_5EC6CA9DB0803CDE959BF85D58943B0748111D3D" xr6:coauthVersionLast="47" xr6:coauthVersionMax="47" xr10:uidLastSave="{9A80C04E-466A-49AE-8959-5D2410815C47}"/>
  <bookViews>
    <workbookView xWindow="0" yWindow="0" windowWidth="16384" windowHeight="8192" tabRatio="500" xr2:uid="{00000000-000D-0000-FFFF-FFFF00000000}"/>
  </bookViews>
  <sheets>
    <sheet name="Equipment Info" sheetId="1" r:id="rId1"/>
    <sheet name="Condition History" sheetId="2" r:id="rId2"/>
    <sheet name="Performance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<sst xmlns="http://schemas.openxmlformats.org/spreadsheetml/2006/main" count="105" uniqueCount="103">
  <si>
    <t>EQUIPMENT PERFORMANCE — CONDITION MONITORING RECORD</t>
  </si>
  <si>
    <t>NAMEPLATE / IDENTIFICATION</t>
  </si>
  <si>
    <t>MONITORED PARAMETERS &amp; LIMITS</t>
  </si>
  <si>
    <t>Equipment Tag</t>
  </si>
  <si>
    <t>PU-2101B</t>
  </si>
  <si>
    <t>Parameter</t>
  </si>
  <si>
    <t>Alarm / Trip</t>
  </si>
  <si>
    <t>Equipment Name</t>
  </si>
  <si>
    <t>Feed Charge Pump PU-2101B</t>
  </si>
  <si>
    <t>Overall Vibration (mm/s)</t>
  </si>
  <si>
    <t>7.0 / 11.0</t>
  </si>
  <si>
    <t>Equipment Type</t>
  </si>
  <si>
    <t>Centrifugal Pump</t>
  </si>
  <si>
    <t>Seal Flush Flow (L/min)</t>
  </si>
  <si>
    <t>5.0 / 4.0</t>
  </si>
  <si>
    <t>Equipment Class</t>
  </si>
  <si>
    <t>B</t>
  </si>
  <si>
    <t>Discharge Pressure (barg)</t>
  </si>
  <si>
    <t>8.5 / 7.5</t>
  </si>
  <si>
    <t>Plant / Unit</t>
  </si>
  <si>
    <t>Resin Plant (ARP)</t>
  </si>
  <si>
    <t>Bearing Temp (°C)</t>
  </si>
  <si>
    <t>80 / 95</t>
  </si>
  <si>
    <t>Discipline</t>
  </si>
  <si>
    <t>ROT</t>
  </si>
  <si>
    <t>Criticality</t>
  </si>
  <si>
    <t>Medium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</si>
  <si>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</si>
  <si>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</si>
  <si>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</si>
  <si>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</si>
  <si>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</si>
  <si>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AR-2026-ARP-0117</t>
  </si>
  <si>
    <t>Failure Date</t>
  </si>
  <si>
    <t>12-Mar-2026</t>
  </si>
  <si>
    <t>Dominant Failure Mode</t>
  </si>
  <si>
    <t>Mechanical Seal Leakage</t>
  </si>
  <si>
    <t>Week</t>
  </si>
  <si>
    <t>Date</t>
  </si>
  <si>
    <t>Overall Vibration
(mm/s)</t>
  </si>
  <si>
    <t>Seal Flush Flow
(L/min)</t>
  </si>
  <si>
    <t>Discharge Pressure
(barg)</t>
  </si>
  <si>
    <t>Bearing Temp
(°C)</t>
  </si>
  <si>
    <t>Health Status</t>
  </si>
  <si>
    <t>Remark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</si>
  <si>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</si>
  <si>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</si>
  <si>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</si>
  <si>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</si>
  <si>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</si>
  <si>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</si>
  <si>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</si>
  <si>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</si>
  <si>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</si>
  <si>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</si>
  <si>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</si>
  <si>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</si>
  <si>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</si>
  <si>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</si>
  <si>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</si>
  <si>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</si>
  <si>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</si>
  <si>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</si>
  <si>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Degradation trend — under close monitoring</t>
  </si>
  <si>
    <t>2026-02-26</t>
  </si>
  <si>
    <t>2026-03-05</t>
  </si>
  <si>
    <t>2026-03-12</t>
  </si>
  <si>
    <t>FAILURE — Mechanical Seal Leakage; unplanned downtime 18.5 h</t>
  </si>
  <si>
    <t>2026-03-19</t>
  </si>
  <si>
    <t>Post-repair baseline restored (CAPA executed)</t>
  </si>
  <si>
    <t>2026-03-26</t>
  </si>
  <si>
    <t>2026-04-02</t>
  </si>
  <si>
    <t>2026-04-09</t>
  </si>
  <si>
    <t>2026-04-16</t>
  </si>
  <si>
    <t>PERFORMANCE SUMMARY — PU-2101B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</si>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</sst>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>
      <c r="A4" s="1" t="s">
        <v>3</v>
      </c>
      <c r="B4" s="2" t="s">
        <v>4</v>
      </c>
      <c r="C4" s="1" t="s">
        <v>5</v>
      </c>
      <c r="D4" s="1" t="s">
        <v>6</v>
      </c>
    </row>
    <row r="5" spans="1:4">
      <c r="A5" s="1" t="s">
        <v>7</v>
      </c>
      <c r="B5" s="2" t="s">
        <v>8</v>
      </c>
      <c r="C5" s="2" t="s">
        <v>9</v>
      </c>
      <c r="D5" s="3" t="s">
        <v>10</v>
      </c>
    </row>
    <row r="6" spans="1:4">
      <c r="A6" s="1" t="s">
        <v>11</v>
      </c>
      <c r="B6" s="2" t="s">
        <v>12</v>
      </c>
      <c r="C6" s="2" t="s">
        <v>13</v>
      </c>
      <c r="D6" s="3" t="s">
        <v>14</v>
      </c>
    </row>
    <row r="7" spans="1:4">
      <c r="A7" s="1" t="s">
        <v>15</v>
      </c>
      <c r="B7" s="2" t="s">
        <v>16</v>
      </c>
      <c r="C7" s="2" t="s">
        <v>17</v>
      </c>
      <c r="D7" s="3" t="s">
        <v>18</v>
      </c>
    </row>
    <row r="8" spans="1:4">
      <c r="A8" s="1" t="s">
        <v>19</v>
      </c>
      <c r="B8" s="2" t="s">
        <v>20</v>
      </c>
      <c r="C8" s="2" t="s">
        <v>21</v>
      </c>
      <c r="D8" s="3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1" spans="1:4" ht="23.85">
      <c r="A11" s="1" t="s">
        <v>27</v>
      </c>
      <c r="B11" s="2" t="s">
        <v>28</v>
      </c>
    </row>
    <row r="12" spans="1:4" ht="23.85">
      <c r="A12" s="1" t="s">
        <v>29</v>
      </c>
      <c r="B12" s="2" t="s">
        <v>30</v>
      </c>
    </row>
    <row r="13" spans="1:4">
      <c r="A13" s="1" t="s">
        <v>31</v>
      </c>
      <c r="B13" s="2" t="s">
        <v>32</v>
      </c>
    </row>
    <row r="14" spans="1:4">
      <c r="A14" s="1" t="s">
        <v>33</v>
      </c>
      <c r="B14" s="2" t="s">
        <v>34</v>
      </c>
    </row>
    <row r="15" spans="1:4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3">
        <v>1</v>
      </c>
      <c r="B2" s="3" t="s">
        <v>45</v>
      </c>
      <c r="C2" s="3">
        <v>3.8929999999999998</v>
      </c>
      <c r="D2" s="3">
        <v>6.5289999999999999</v>
      </c>
      <c r="E2" s="3">
        <v>9.5760000000000005</v>
      </c>
      <c r="F2" s="3">
        <v>62.024999999999999</v>
      </c>
      <c r="G2" s="3" t="str">
        <f>IF(OR(C2&gt;=11,D2&lt;=4,E2&lt;=7.5,F2&gt;=95),"TRIP",IF(OR(C2&gt;=7,D2&lt;=5,E2&lt;=8.5,F2&gt;=80),"ALARM","NORMAL"))</f>
        <v>NORMAL</v>
      </c>
      <c r="H2" s="2"/>
    </row>
    <row r="3" spans="1:8">
      <c r="A3" s="3">
        <v>2</v>
      </c>
      <c r="B3" s="3" t="s">
        <v>46</v>
      </c>
      <c r="C3" s="3">
        <v>3.9409999999999998</v>
      </c>
      <c r="D3" s="3">
        <v>6.4669999999999996</v>
      </c>
      <c r="E3" s="3">
        <v>9.5489999999999995</v>
      </c>
      <c r="F3" s="3">
        <v>63.051000000000002</v>
      </c>
      <c r="G3" s="3" t="str">
        <f>IF(OR(C3&gt;=11,D3&lt;=4,E3&lt;=7.5,F3&gt;=95),"TRIP",IF(OR(C3&gt;=7,D3&lt;=5,E3&lt;=8.5,F3&gt;=80),"ALARM","NORMAL"))</f>
        <v>NORMAL</v>
      </c>
      <c r="H3" s="2"/>
    </row>
    <row r="4" spans="1:8">
      <c r="A4" s="3">
        <v>3</v>
      </c>
      <c r="B4" s="3" t="s">
        <v>47</v>
      </c>
      <c r="C4" s="3">
        <v>3.8050000000000002</v>
      </c>
      <c r="D4" s="3">
        <v>6.5279999999999996</v>
      </c>
      <c r="E4" s="3">
        <v>9.5289999999999999</v>
      </c>
      <c r="F4" s="3">
        <v>61.209000000000003</v>
      </c>
      <c r="G4" s="3" t="str">
        <f>IF(OR(C4&gt;=11,D4&lt;=4,E4&lt;=7.5,F4&gt;=95),"TRIP",IF(OR(C4&gt;=7,D4&lt;=5,E4&lt;=8.5,F4&gt;=80),"ALARM","NORMAL"))</f>
        <v>NORMAL</v>
      </c>
      <c r="H4" s="2"/>
    </row>
    <row r="5" spans="1:8">
      <c r="A5" s="3">
        <v>4</v>
      </c>
      <c r="B5" s="3" t="s">
        <v>48</v>
      </c>
      <c r="C5" s="3">
        <v>4.0620000000000003</v>
      </c>
      <c r="D5" s="3">
        <v>6.3840000000000003</v>
      </c>
      <c r="E5" s="3">
        <v>9.593</v>
      </c>
      <c r="F5" s="3">
        <v>62.58</v>
      </c>
      <c r="G5" s="3" t="str">
        <f>IF(OR(C5&gt;=11,D5&lt;=4,E5&lt;=7.5,F5&gt;=95),"TRIP",IF(OR(C5&gt;=7,D5&lt;=5,E5&lt;=8.5,F5&gt;=80),"ALARM","NORMAL"))</f>
        <v>NORMAL</v>
      </c>
      <c r="H5" s="2"/>
    </row>
    <row r="6" spans="1:8">
      <c r="A6" s="3">
        <v>5</v>
      </c>
      <c r="B6" s="3" t="s">
        <v>49</v>
      </c>
      <c r="C6" s="3">
        <v>4.3140000000000001</v>
      </c>
      <c r="D6" s="3">
        <v>6.2569999999999997</v>
      </c>
      <c r="E6" s="3">
        <v>9.5399999999999991</v>
      </c>
      <c r="F6" s="3">
        <v>63.954999999999998</v>
      </c>
      <c r="G6" s="3" t="str">
        <f>IF(OR(C6&gt;=11,D6&lt;=4,E6&lt;=7.5,F6&gt;=95),"TRIP",IF(OR(C6&gt;=7,D6&lt;=5,E6&lt;=8.5,F6&gt;=80),"ALARM","NORMAL"))</f>
        <v>NORMAL</v>
      </c>
      <c r="H6" s="2"/>
    </row>
    <row r="7" spans="1:8">
      <c r="A7" s="3">
        <v>6</v>
      </c>
      <c r="B7" s="3" t="s">
        <v>50</v>
      </c>
      <c r="C7" s="3">
        <v>4.42</v>
      </c>
      <c r="D7" s="3">
        <v>6.3650000000000002</v>
      </c>
      <c r="E7" s="3">
        <v>9.4540000000000006</v>
      </c>
      <c r="F7" s="3">
        <v>64.236999999999995</v>
      </c>
      <c r="G7" s="3" t="str">
        <f>IF(OR(C7&gt;=11,D7&lt;=4,E7&lt;=7.5,F7&gt;=95),"TRIP",IF(OR(C7&gt;=7,D7&lt;=5,E7&lt;=8.5,F7&gt;=80),"ALARM","NORMAL"))</f>
        <v>NORMAL</v>
      </c>
      <c r="H7" s="2"/>
    </row>
    <row r="8" spans="1:8">
      <c r="A8" s="3">
        <v>7</v>
      </c>
      <c r="B8" s="3" t="s">
        <v>51</v>
      </c>
      <c r="C8" s="3">
        <v>4.2489999999999997</v>
      </c>
      <c r="D8" s="3">
        <v>6.327</v>
      </c>
      <c r="E8" s="3">
        <v>9.4809999999999999</v>
      </c>
      <c r="F8" s="3">
        <v>64.575000000000003</v>
      </c>
      <c r="G8" s="3" t="str">
        <f>IF(OR(C8&gt;=11,D8&lt;=4,E8&lt;=7.5,F8&gt;=95),"TRIP",IF(OR(C8&gt;=7,D8&lt;=5,E8&lt;=8.5,F8&gt;=80),"ALARM","NORMAL"))</f>
        <v>NORMAL</v>
      </c>
      <c r="H8" s="2"/>
    </row>
    <row r="9" spans="1:8">
      <c r="A9" s="3">
        <v>8</v>
      </c>
      <c r="B9" s="3" t="s">
        <v>52</v>
      </c>
      <c r="C9" s="3">
        <v>4.43</v>
      </c>
      <c r="D9" s="3">
        <v>6.2290000000000001</v>
      </c>
      <c r="E9" s="3">
        <v>9.3539999999999992</v>
      </c>
      <c r="F9" s="3">
        <v>66.063999999999993</v>
      </c>
      <c r="G9" s="3" t="str">
        <f>IF(OR(C9&gt;=11,D9&lt;=4,E9&lt;=7.5,F9&gt;=95),"TRIP",IF(OR(C9&gt;=7,D9&lt;=5,E9&lt;=8.5,F9&gt;=80),"ALARM","NORMAL"))</f>
        <v>NORMAL</v>
      </c>
      <c r="H9" s="2"/>
    </row>
    <row r="10" spans="1:8">
      <c r="A10" s="3">
        <v>9</v>
      </c>
      <c r="B10" s="3" t="s">
        <v>53</v>
      </c>
      <c r="C10" s="3">
        <v>5.01</v>
      </c>
      <c r="D10" s="3">
        <v>6.1779999999999999</v>
      </c>
      <c r="E10" s="3">
        <v>9.2520000000000007</v>
      </c>
      <c r="F10" s="3">
        <v>67.55</v>
      </c>
      <c r="G10" s="3" t="str">
        <f>IF(OR(C10&gt;=11,D10&lt;=4,E10&lt;=7.5,F10&gt;=95),"TRIP",IF(OR(C10&gt;=7,D10&lt;=5,E10&lt;=8.5,F10&gt;=80),"ALARM","NORMAL"))</f>
        <v>NORMAL</v>
      </c>
      <c r="H10" s="2"/>
    </row>
    <row r="11" spans="1:8">
      <c r="A11" s="3">
        <v>10</v>
      </c>
      <c r="B11" s="3" t="s">
        <v>54</v>
      </c>
      <c r="C11" s="3">
        <v>5.4370000000000003</v>
      </c>
      <c r="D11" s="3">
        <v>6.032</v>
      </c>
      <c r="E11" s="3">
        <v>9.1969999999999992</v>
      </c>
      <c r="F11" s="3">
        <v>69.352999999999994</v>
      </c>
      <c r="G11" s="3" t="str">
        <f>IF(OR(C11&gt;=11,D11&lt;=4,E11&lt;=7.5,F11&gt;=95),"TRIP",IF(OR(C11&gt;=7,D11&lt;=5,E11&lt;=8.5,F11&gt;=80),"ALARM","NORMAL"))</f>
        <v>NORMAL</v>
      </c>
      <c r="H11" s="2"/>
    </row>
    <row r="12" spans="1:8">
      <c r="A12" s="3">
        <v>11</v>
      </c>
      <c r="B12" s="3" t="s">
        <v>55</v>
      </c>
      <c r="C12" s="3">
        <v>5.5970000000000004</v>
      </c>
      <c r="D12" s="3">
        <v>5.8920000000000003</v>
      </c>
      <c r="E12" s="3">
        <v>9.0289999999999999</v>
      </c>
      <c r="F12" s="3">
        <v>69.194999999999993</v>
      </c>
      <c r="G12" s="3" t="str">
        <f>IF(OR(C12&gt;=11,D12&lt;=4,E12&lt;=7.5,F12&gt;=95),"TRIP",IF(OR(C12&gt;=7,D12&lt;=5,E12&lt;=8.5,F12&gt;=80),"ALARM","NORMAL"))</f>
        <v>NORMAL</v>
      </c>
      <c r="H12" s="2"/>
    </row>
    <row r="13" spans="1:8">
      <c r="A13" s="3">
        <v>12</v>
      </c>
      <c r="B13" s="3" t="s">
        <v>56</v>
      </c>
      <c r="C13" s="3">
        <v>6.1150000000000002</v>
      </c>
      <c r="D13" s="3">
        <v>5.6909999999999998</v>
      </c>
      <c r="E13" s="3">
        <v>8.9689999999999994</v>
      </c>
      <c r="F13" s="3">
        <v>71.414000000000001</v>
      </c>
      <c r="G13" s="3" t="str">
        <f>IF(OR(C13&gt;=11,D13&lt;=4,E13&lt;=7.5,F13&gt;=95),"TRIP",IF(OR(C13&gt;=7,D13&lt;=5,E13&lt;=8.5,F13&gt;=80),"ALARM","NORMAL"))</f>
        <v>NORMAL</v>
      </c>
      <c r="H13" s="2"/>
    </row>
    <row r="14" spans="1:8">
      <c r="A14" s="3">
        <v>13</v>
      </c>
      <c r="B14" s="3" t="s">
        <v>57</v>
      </c>
      <c r="C14" s="3">
        <v>6.4269999999999996</v>
      </c>
      <c r="D14" s="3">
        <v>5.5940000000000003</v>
      </c>
      <c r="E14" s="3">
        <v>8.7959999999999994</v>
      </c>
      <c r="F14" s="3">
        <v>74.061999999999998</v>
      </c>
      <c r="G14" s="3" t="str">
        <f>IF(OR(C14&gt;=11,D14&lt;=4,E14&lt;=7.5,F14&gt;=95),"TRIP",IF(OR(C14&gt;=7,D14&lt;=5,E14&lt;=8.5,F14&gt;=80),"ALARM","NORMAL"))</f>
        <v>NORMAL</v>
      </c>
      <c r="H14" s="2"/>
    </row>
    <row r="15" spans="1:8">
      <c r="A15" s="3">
        <v>14</v>
      </c>
      <c r="B15" s="3" t="s">
        <v>58</v>
      </c>
      <c r="C15" s="3">
        <v>6.8739999999999997</v>
      </c>
      <c r="D15" s="3">
        <v>5.3849999999999998</v>
      </c>
      <c r="E15" s="3">
        <v>8.7370000000000001</v>
      </c>
      <c r="F15" s="3">
        <v>76.228999999999999</v>
      </c>
      <c r="G15" s="3" t="str">
        <f>IF(OR(C15&gt;=11,D15&lt;=4,E15&lt;=7.5,F15&gt;=95),"TRIP",IF(OR(C15&gt;=7,D15&lt;=5,E15&lt;=8.5,F15&gt;=80),"ALARM","NORMAL"))</f>
        <v>NORMAL</v>
      </c>
      <c r="H15" s="2"/>
    </row>
    <row r="16" spans="1:8">
      <c r="A16" s="3">
        <v>15</v>
      </c>
      <c r="B16" s="3" t="s">
        <v>59</v>
      </c>
      <c r="C16" s="3">
        <v>7.3710000000000004</v>
      </c>
      <c r="D16" s="3">
        <v>5.2569999999999997</v>
      </c>
      <c r="E16" s="3">
        <v>8.5980000000000008</v>
      </c>
      <c r="F16" s="3">
        <v>78.331000000000003</v>
      </c>
      <c r="G16" s="3" t="str">
        <f>IF(OR(C16&gt;=11,D16&lt;=4,E16&lt;=7.5,F16&gt;=95),"TRIP",IF(OR(C16&gt;=7,D16&lt;=5,E16&lt;=8.5,F16&gt;=80),"ALARM","NORMAL"))</f>
        <v>ALARM</v>
      </c>
      <c r="H16" s="2"/>
    </row>
    <row r="17" spans="1:8">
      <c r="A17" s="3">
        <v>16</v>
      </c>
      <c r="B17" s="3" t="s">
        <v>60</v>
      </c>
      <c r="C17" s="3">
        <v>7.8819999999999997</v>
      </c>
      <c r="D17" s="3">
        <v>5.1890000000000001</v>
      </c>
      <c r="E17" s="3">
        <v>8.4139999999999997</v>
      </c>
      <c r="F17" s="3">
        <v>80.834000000000003</v>
      </c>
      <c r="G17" s="3" t="str">
        <f>IF(OR(C17&gt;=11,D17&lt;=4,E17&lt;=7.5,F17&gt;=95),"TRIP",IF(OR(C17&gt;=7,D17&lt;=5,E17&lt;=8.5,F17&gt;=80),"ALARM","NORMAL"))</f>
        <v>ALARM</v>
      </c>
      <c r="H17" s="2"/>
    </row>
    <row r="18" spans="1:8">
      <c r="A18" s="3">
        <v>17</v>
      </c>
      <c r="B18" s="3" t="s">
        <v>61</v>
      </c>
      <c r="C18" s="3">
        <v>8.3469999999999995</v>
      </c>
      <c r="D18" s="3">
        <v>4.9109999999999996</v>
      </c>
      <c r="E18" s="3">
        <v>8.3010000000000002</v>
      </c>
      <c r="F18" s="3">
        <v>83.703000000000003</v>
      </c>
      <c r="G18" s="3" t="str">
        <f>IF(OR(C18&gt;=11,D18&lt;=4,E18&lt;=7.5,F18&gt;=95),"TRIP",IF(OR(C18&gt;=7,D18&lt;=5,E18&lt;=8.5,F18&gt;=80),"ALARM","NORMAL"))</f>
        <v>ALARM</v>
      </c>
      <c r="H18" s="2"/>
    </row>
    <row r="19" spans="1:8">
      <c r="A19" s="3">
        <v>18</v>
      </c>
      <c r="B19" s="3" t="s">
        <v>62</v>
      </c>
      <c r="C19" s="3">
        <v>9.2680000000000007</v>
      </c>
      <c r="D19" s="3">
        <v>4.7130000000000001</v>
      </c>
      <c r="E19" s="3">
        <v>8.0530000000000008</v>
      </c>
      <c r="F19" s="3">
        <v>86.144999999999996</v>
      </c>
      <c r="G19" s="3" t="str">
        <f>IF(OR(C19&gt;=11,D19&lt;=4,E19&lt;=7.5,F19&gt;=95),"TRIP",IF(OR(C19&gt;=7,D19&lt;=5,E19&lt;=8.5,F19&gt;=80),"ALARM","NORMAL"))</f>
        <v>ALARM</v>
      </c>
      <c r="H19" s="2" t="s">
        <v>63</v>
      </c>
    </row>
    <row r="20" spans="1:8">
      <c r="A20" s="3">
        <v>19</v>
      </c>
      <c r="B20" s="3" t="s">
        <v>64</v>
      </c>
      <c r="C20" s="3">
        <v>9.7639999999999993</v>
      </c>
      <c r="D20" s="3">
        <v>4.4400000000000004</v>
      </c>
      <c r="E20" s="3">
        <v>7.9219999999999997</v>
      </c>
      <c r="F20" s="3">
        <v>90.426000000000002</v>
      </c>
      <c r="G20" s="3" t="str">
        <f>IF(OR(C20&gt;=11,D20&lt;=4,E20&lt;=7.5,F20&gt;=95),"TRIP",IF(OR(C20&gt;=7,D20&lt;=5,E20&lt;=8.5,F20&gt;=80),"ALARM","NORMAL"))</f>
        <v>ALARM</v>
      </c>
      <c r="H20" s="2" t="s">
        <v>63</v>
      </c>
    </row>
    <row r="21" spans="1:8">
      <c r="A21" s="3">
        <v>20</v>
      </c>
      <c r="B21" s="3" t="s">
        <v>65</v>
      </c>
      <c r="C21" s="3">
        <v>10.218</v>
      </c>
      <c r="D21" s="3">
        <v>4.3739999999999997</v>
      </c>
      <c r="E21" s="3">
        <v>7.7</v>
      </c>
      <c r="F21" s="3">
        <v>91.337999999999994</v>
      </c>
      <c r="G21" s="3" t="str">
        <f>IF(OR(C21&gt;=11,D21&lt;=4,E21&lt;=7.5,F21&gt;=95),"TRIP",IF(OR(C21&gt;=7,D21&lt;=5,E21&lt;=8.5,F21&gt;=80),"ALARM","NORMAL"))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11.22</v>
      </c>
      <c r="D22" s="3">
        <v>3.92</v>
      </c>
      <c r="E22" s="3">
        <v>7.35</v>
      </c>
      <c r="F22" s="3">
        <v>96.9</v>
      </c>
      <c r="G22" s="3" t="str">
        <f>IF(OR(C22&gt;=11,D22&lt;=4,E22&lt;=7.5,F22&gt;=95),"TRIP",IF(OR(C22&gt;=7,D22&lt;=5,E22&lt;=8.5,F22&gt;=80),"ALARM","NORMAL"))</f>
        <v>TRIP</v>
      </c>
      <c r="H22" s="2" t="s">
        <v>67</v>
      </c>
    </row>
    <row r="23" spans="1:8">
      <c r="A23" s="3">
        <v>22</v>
      </c>
      <c r="B23" s="3" t="s">
        <v>68</v>
      </c>
      <c r="C23" s="3">
        <v>3.6240000000000001</v>
      </c>
      <c r="D23" s="3">
        <v>6.2309999999999999</v>
      </c>
      <c r="E23" s="3">
        <v>9.5540000000000003</v>
      </c>
      <c r="F23" s="3">
        <v>58.930999999999997</v>
      </c>
      <c r="G23" s="3" t="str">
        <f>IF(OR(C23&gt;=11,D23&lt;=4,E23&lt;=7.5,F23&gt;=95),"TRIP",IF(OR(C23&gt;=7,D23&lt;=5,E23&lt;=8.5,F23&gt;=80),"ALARM","NORMAL"))</f>
        <v>NORMAL</v>
      </c>
      <c r="H23" s="2" t="s">
        <v>69</v>
      </c>
    </row>
    <row r="24" spans="1:8">
      <c r="A24" s="3">
        <v>23</v>
      </c>
      <c r="B24" s="3" t="s">
        <v>70</v>
      </c>
      <c r="C24" s="3">
        <v>3.77</v>
      </c>
      <c r="D24" s="3">
        <v>6.5119999999999996</v>
      </c>
      <c r="E24" s="3">
        <v>9.7680000000000007</v>
      </c>
      <c r="F24" s="3">
        <v>61.511000000000003</v>
      </c>
      <c r="G24" s="3" t="str">
        <f>IF(OR(C24&gt;=11,D24&lt;=4,E24&lt;=7.5,F24&gt;=95),"TRIP",IF(OR(C24&gt;=7,D24&lt;=5,E24&lt;=8.5,F24&gt;=80),"ALARM","NORMAL"))</f>
        <v>NORMAL</v>
      </c>
      <c r="H24" s="2"/>
    </row>
    <row r="25" spans="1:8">
      <c r="A25" s="3">
        <v>24</v>
      </c>
      <c r="B25" s="3" t="s">
        <v>71</v>
      </c>
      <c r="C25" s="3">
        <v>3.5870000000000002</v>
      </c>
      <c r="D25" s="3">
        <v>6.2569999999999997</v>
      </c>
      <c r="E25" s="3">
        <v>10.064</v>
      </c>
      <c r="F25" s="3">
        <v>61.063000000000002</v>
      </c>
      <c r="G25" s="3" t="str">
        <f>IF(OR(C25&gt;=11,D25&lt;=4,E25&lt;=7.5,F25&gt;=95),"TRIP",IF(OR(C25&gt;=7,D25&lt;=5,E25&lt;=8.5,F25&gt;=80),"ALARM","NORMAL"))</f>
        <v>NORMAL</v>
      </c>
      <c r="H25" s="2"/>
    </row>
    <row r="26" spans="1:8">
      <c r="A26" s="3">
        <v>25</v>
      </c>
      <c r="B26" s="3" t="s">
        <v>72</v>
      </c>
      <c r="C26" s="3">
        <v>3.6920000000000002</v>
      </c>
      <c r="D26" s="3">
        <v>6.2510000000000003</v>
      </c>
      <c r="E26" s="3">
        <v>9.4280000000000008</v>
      </c>
      <c r="F26" s="3">
        <v>60.561999999999998</v>
      </c>
      <c r="G26" s="3" t="str">
        <f>IF(OR(C26&gt;=11,D26&lt;=4,E26&lt;=7.5,F26&gt;=95),"TRIP",IF(OR(C26&gt;=7,D26&lt;=5,E26&lt;=8.5,F26&gt;=80),"ALARM","NORMAL"))</f>
        <v>NORMAL</v>
      </c>
      <c r="H26" s="2"/>
    </row>
    <row r="27" spans="1:8">
      <c r="A27" s="3">
        <v>26</v>
      </c>
      <c r="B27" s="3" t="s">
        <v>73</v>
      </c>
      <c r="C27" s="3">
        <v>3.7959999999999998</v>
      </c>
      <c r="D27" s="3">
        <v>6.4459999999999997</v>
      </c>
      <c r="E27" s="3">
        <v>9.51</v>
      </c>
      <c r="F27" s="3">
        <v>59.316000000000003</v>
      </c>
      <c r="G27" s="3" t="str">
        <f>IF(OR(C27&gt;=11,D27&lt;=4,E27&lt;=7.5,F27&gt;=95),"TRIP",IF(OR(C27&gt;=7,D27&lt;=5,E27&lt;=8.5,F27&gt;=80),"ALARM","NORMAL"))</f>
        <v>NORMAL</v>
      </c>
      <c r="H27" s="2"/>
    </row>
  </sheetData>
  <conditionalFormatting sqref="G2:G27">
    <cfRule type="cellIs" dxfId="2" priority="2" operator="equal">
      <formula>"TRIP"</formula>
    </cfRule>
    <cfRule type="cellIs" dxfId="1" priority="3" operator="equal">
      <formula>"ALARM"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ColWidth="8.7109375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>
      <c r="A3" s="4" t="s">
        <v>75</v>
      </c>
      <c r="B3" s="4" t="s">
        <v>76</v>
      </c>
      <c r="C3" s="4" t="s">
        <v>77</v>
      </c>
    </row>
    <row r="4" spans="1:3">
      <c r="A4" s="1" t="s">
        <v>78</v>
      </c>
      <c r="B4" s="3">
        <v>26</v>
      </c>
      <c r="C4" s="5" t="s">
        <v>79</v>
      </c>
    </row>
    <row r="5" spans="1:3">
      <c r="A5" s="1" t="s">
        <v>80</v>
      </c>
      <c r="B5" s="3">
        <v>18.5</v>
      </c>
      <c r="C5" s="5" t="s">
        <v>81</v>
      </c>
    </row>
    <row r="6" spans="1:3">
      <c r="A6" s="1" t="s">
        <v>82</v>
      </c>
      <c r="B6" s="3">
        <v>4368</v>
      </c>
      <c r="C6" s="5">
        <f>26*7*24</f>
        <v>4368</v>
      </c>
    </row>
    <row r="7" spans="1:3">
      <c r="A7" s="1" t="s">
        <v>83</v>
      </c>
      <c r="B7" s="6">
        <f>(1-18.5/4368)*100</f>
        <v>99.576465201465197</v>
      </c>
      <c r="C7" s="5" t="s">
        <v>84</v>
      </c>
    </row>
    <row r="8" spans="1:3">
      <c r="A8" s="1" t="s">
        <v>85</v>
      </c>
      <c r="B8" s="3">
        <v>1</v>
      </c>
      <c r="C8" s="5" t="s">
        <v>86</v>
      </c>
    </row>
    <row r="9" spans="1:3">
      <c r="A9" s="1" t="s">
        <v>87</v>
      </c>
      <c r="B9" s="3">
        <f>4368/1</f>
        <v>4368</v>
      </c>
      <c r="C9" s="5" t="s">
        <v>88</v>
      </c>
    </row>
    <row r="10" spans="1:3">
      <c r="A10" s="1" t="s">
        <v>89</v>
      </c>
      <c r="B10" s="3">
        <v>18.5</v>
      </c>
      <c r="C10" s="5" t="s">
        <v>90</v>
      </c>
    </row>
    <row r="11" spans="1:3">
      <c r="A11" s="1" t="s">
        <v>91</v>
      </c>
      <c r="B11" s="3">
        <f>COUNTIF('Condition History'!G2:G27,"ALARM")</f>
        <v>6</v>
      </c>
      <c r="C11" s="5" t="s">
        <v>92</v>
      </c>
    </row>
    <row r="12" spans="1:3">
      <c r="A12" s="1" t="s">
        <v>93</v>
      </c>
      <c r="B12" s="3">
        <f>COUNTIF('Condition History'!G2:G27,"TRIP")</f>
        <v>1</v>
      </c>
      <c r="C12" s="5" t="s">
        <v>94</v>
      </c>
    </row>
    <row r="13" spans="1:3">
      <c r="A13" s="1" t="s">
        <v>95</v>
      </c>
      <c r="B13" s="3">
        <f>COUNTIF('Condition History'!G2:G27,"NORMAL")</f>
        <v>19</v>
      </c>
      <c r="C13" s="5" t="s">
        <v>96</v>
      </c>
    </row>
    <row r="14" spans="1:3">
      <c r="A14" s="1" t="s">
        <v>97</v>
      </c>
      <c r="B14" s="6">
        <v>92</v>
      </c>
      <c r="C14" s="5" t="s">
        <v>98</v>
      </c>
    </row>
    <row r="15" spans="1:3">
      <c r="A15" s="1" t="s">
        <v>99</v>
      </c>
      <c r="B15" s="3">
        <v>251.6</v>
      </c>
      <c r="C15" s="5" t="s">
        <v>100</v>
      </c>
    </row>
    <row r="16" spans="1:3">
      <c r="A16" s="1" t="s">
        <v>101</v>
      </c>
      <c r="B16" s="3">
        <v>226.44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Props1.xml><?xml version="1.0" encoding="utf-8"?>
<ds:datastoreItem xmlns:ds="http://schemas.openxmlformats.org/officeDocument/2006/customXml" ds:itemID="{2A9CB91D-25EE-4025-9138-DC05934341C4}"/>
</file>

<file path=customXml/itemProps2.xml><?xml version="1.0" encoding="utf-8"?>
<ds:datastoreItem xmlns:ds="http://schemas.openxmlformats.org/officeDocument/2006/customXml" ds:itemID="{E43029C6-6856-4FFE-A10D-AFE015F13B2B}"/>
</file>

<file path=customXml/itemProps3.xml><?xml version="1.0" encoding="utf-8"?>
<ds:datastoreItem xmlns:ds="http://schemas.openxmlformats.org/officeDocument/2006/customXml" ds:itemID="{822A26D4-A57D-4C31-8061-C2A7D82EEF55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2026-07-30T08:48:44Z</dcterms:created>
  <dcterms:modified xsi:type="dcterms:W3CDTF">2026-08-10T22:42:36Z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