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D751D0D09C8DBBA2D451EA997FD7E5402AABB07A" xr6:coauthVersionLast="47" xr6:coauthVersionMax="47" xr10:uidLastSave="{809D10BF-9AAC-4AB6-AEA2-0B5F8CD98F7E}"/>
  <bookViews>
    <workbookView xWindow="0" yWindow="0" windowWidth="16384" windowHeight="8192" tabRatio="500" xr2:uid="{00000000-000D-0000-FFFF-FFFF00000000}"/>
  </bookViews>
  <sheets>
    <sheet name="Dashboard" sheetId="1" r:id="rId1"/>
    <sheet name="Incident Database" sheetId="2" r:id="rId2"/>
  </sheets>
  <definedNames>
    <definedName name="_xlnm._FilterDatabase" localSheetId="1" hidden="1">'Incident Database'!$A$3:$W$383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" l="1"/>
  <c r="C28" i="1"/>
  <c r="B28" i="1"/>
  <c r="E27" i="1"/>
  <c r="C27" i="1"/>
  <c r="B27" i="1"/>
  <c r="E26" i="1"/>
  <c r="C26" i="1"/>
  <c r="B26" i="1"/>
  <c r="E25" i="1"/>
  <c r="C25" i="1"/>
  <c r="B25" i="1"/>
  <c r="E24" i="1"/>
  <c r="C24" i="1"/>
  <c r="B24" i="1"/>
  <c r="E23" i="1"/>
  <c r="C23" i="1"/>
  <c r="B23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B14" i="1"/>
  <c r="B13" i="1"/>
  <c r="F12" i="1"/>
  <c r="E12" i="1"/>
  <c r="B12" i="1"/>
  <c r="F11" i="1"/>
  <c r="E11" i="1"/>
  <c r="B11" i="1"/>
  <c r="F10" i="1"/>
  <c r="E10" i="1"/>
  <c r="B10" i="1"/>
  <c r="F9" i="1"/>
  <c r="E9" i="1"/>
  <c r="B9" i="1"/>
  <c r="B5" i="1"/>
  <c r="B4" i="1"/>
  <c r="B3" i="1"/>
  <c r="B6" i="1" l="1"/>
</calcChain>
</file>

<file path=xl/sharedStrings.xml><?xml version="1.0" encoding="utf-8"?>
<sst xmlns="http://schemas.openxmlformats.org/spreadsheetml/2006/main" count="6529" uniqueCount="1872">
  <si>
    <t>INCIDENT DATABASE — SUMMARY DASHBOARD</t>
  </si>
  <si>
    <t>Total Incidents</t>
  </si>
  <si>
    <t>Total Downtime (hrs)</t>
  </si>
  <si>
    <t>Total Loss (k US$)</t>
  </si>
  <si>
    <t>Avg Loss per Incident (k US$)</t>
  </si>
  <si>
    <t>By Overall Status</t>
  </si>
  <si>
    <t>By Discipline</t>
  </si>
  <si>
    <t>Loss (k$)</t>
  </si>
  <si>
    <t>RISK CLOSED</t>
  </si>
  <si>
    <t>ROT</t>
  </si>
  <si>
    <t>CA/PA EXECUTION</t>
  </si>
  <si>
    <t>INS</t>
  </si>
  <si>
    <t>RCA PROCESS</t>
  </si>
  <si>
    <t>STA</t>
  </si>
  <si>
    <t>RISK CANCELED</t>
  </si>
  <si>
    <t>ELE</t>
  </si>
  <si>
    <t>MONITORING RESULT</t>
  </si>
  <si>
    <t>NEW REGISTERED</t>
  </si>
  <si>
    <t>By Plant</t>
  </si>
  <si>
    <t>By Equipment Type</t>
  </si>
  <si>
    <t>ZCU</t>
  </si>
  <si>
    <t>PU</t>
  </si>
  <si>
    <t>ARP</t>
  </si>
  <si>
    <t>CO</t>
  </si>
  <si>
    <t>OPP</t>
  </si>
  <si>
    <t>BL</t>
  </si>
  <si>
    <t>OP2</t>
  </si>
  <si>
    <t>FA</t>
  </si>
  <si>
    <t>SMX</t>
  </si>
  <si>
    <t>EM</t>
  </si>
  <si>
    <t>BRP</t>
  </si>
  <si>
    <t>VA</t>
  </si>
  <si>
    <t>OP3</t>
  </si>
  <si>
    <t>TX</t>
  </si>
  <si>
    <t>NUP</t>
  </si>
  <si>
    <t>HB</t>
  </si>
  <si>
    <t>CRP</t>
  </si>
  <si>
    <t>TK</t>
  </si>
  <si>
    <t>BDX</t>
  </si>
  <si>
    <t>RX</t>
  </si>
  <si>
    <t>OPU</t>
  </si>
  <si>
    <t>PZ</t>
  </si>
  <si>
    <t>TKX</t>
  </si>
  <si>
    <t>SX</t>
  </si>
  <si>
    <t>EQUIPMENT RELATED RISK — INCIDENT DATABASE (RCA &amp; CAPA/PAA)</t>
  </si>
  <si>
    <t>Serial No</t>
  </si>
  <si>
    <t>MTO No.</t>
  </si>
  <si>
    <t>AR No.</t>
  </si>
  <si>
    <t>Plant</t>
  </si>
  <si>
    <t>Tag Number</t>
  </si>
  <si>
    <t>Eq. Class</t>
  </si>
  <si>
    <t>Date of Occur.</t>
  </si>
  <si>
    <t>Risk Case Title</t>
  </si>
  <si>
    <t>Highest Impact</t>
  </si>
  <si>
    <t>Pre-Risk</t>
  </si>
  <si>
    <t>Risk Score</t>
  </si>
  <si>
    <t>PIC (RCA)</t>
  </si>
  <si>
    <t>Overall Status</t>
  </si>
  <si>
    <t>Discipline</t>
  </si>
  <si>
    <t>Eq. Type</t>
  </si>
  <si>
    <t>Component</t>
  </si>
  <si>
    <t>F Mechanism</t>
  </si>
  <si>
    <t>Downtime (hrs)</t>
  </si>
  <si>
    <t>Act. Loss (k US$)</t>
  </si>
  <si>
    <t>Pot. Loss (k US$)</t>
  </si>
  <si>
    <t>RCA Due Date</t>
  </si>
  <si>
    <t>Month - Year</t>
  </si>
  <si>
    <t>MTO-2026-ARP-0031</t>
  </si>
  <si>
    <t>AR-2026-ARP-0117</t>
  </si>
  <si>
    <t>PU-2101B</t>
  </si>
  <si>
    <t>B</t>
  </si>
  <si>
    <t>2026-03-12</t>
  </si>
  <si>
    <t>Feed — Mechanical Seal Leakage</t>
  </si>
  <si>
    <t>Uptime Loss</t>
  </si>
  <si>
    <t>III</t>
  </si>
  <si>
    <t>REL-05</t>
  </si>
  <si>
    <t>Mechanical Seal</t>
  </si>
  <si>
    <t>Mechanical</t>
  </si>
  <si>
    <t>2026-04-26</t>
  </si>
  <si>
    <t>Mar-2026</t>
  </si>
  <si>
    <t>MTO-2026-ZCU-0058</t>
  </si>
  <si>
    <t>AR-2026-ZCU-0142</t>
  </si>
  <si>
    <t>KO-3201</t>
  </si>
  <si>
    <t>A</t>
  </si>
  <si>
    <t>2026-04-29</t>
  </si>
  <si>
    <t>Cracked — High Radial Vibration Trip (Bearing Distress)</t>
  </si>
  <si>
    <t>Class A Eq. Breakdown</t>
  </si>
  <si>
    <t>II</t>
  </si>
  <si>
    <t>Journal Bearing</t>
  </si>
  <si>
    <t>High</t>
  </si>
  <si>
    <t>2026-06-13</t>
  </si>
  <si>
    <t>Apr-2026</t>
  </si>
  <si>
    <t>MTO-2026-NUP-0024</t>
  </si>
  <si>
    <t>AR-2026-NUP-0089</t>
  </si>
  <si>
    <t>PM-4405B</t>
  </si>
  <si>
    <t>2026-07-08</t>
  </si>
  <si>
    <t>Cooling — Motor Bearing Failure (Overheating)</t>
  </si>
  <si>
    <t>REL-02</t>
  </si>
  <si>
    <t>Motor Bearing</t>
  </si>
  <si>
    <t>Motor</t>
  </si>
  <si>
    <t>2026-08-22</t>
  </si>
  <si>
    <t>Jul-2026</t>
  </si>
  <si>
    <t>MTO-2026-ZCU-0071</t>
  </si>
  <si>
    <t>AR-2026-ZCU-0165</t>
  </si>
  <si>
    <t>HE-3301</t>
  </si>
  <si>
    <t>2026-05-21</t>
  </si>
  <si>
    <t>Feed/Effluent — High Fouling — Duty Loss &amp; High dP</t>
  </si>
  <si>
    <t>STA-02</t>
  </si>
  <si>
    <t>Tube Bundle</t>
  </si>
  <si>
    <t>2026-07-05</t>
  </si>
  <si>
    <t>May-2026</t>
  </si>
  <si>
    <t>MTO-2026-OPP-0096</t>
  </si>
  <si>
    <t>AR-2026-OPP-0203</t>
  </si>
  <si>
    <t>BL-5702</t>
  </si>
  <si>
    <t>2026-06-17</t>
  </si>
  <si>
    <t>Product — High Vibration (Coupling Misalignment)</t>
  </si>
  <si>
    <t>ROT-01</t>
  </si>
  <si>
    <t>Coupling</t>
  </si>
  <si>
    <t>2026-08-01</t>
  </si>
  <si>
    <t>Jun-2026</t>
  </si>
  <si>
    <t>MTO-2024-OPP-0006</t>
  </si>
  <si>
    <t>n/a</t>
  </si>
  <si>
    <t>TR-8242A</t>
  </si>
  <si>
    <t>2024-05-01</t>
  </si>
  <si>
    <t>TR-8242A Rotor High Vibration</t>
  </si>
  <si>
    <t>IV</t>
  </si>
  <si>
    <t>ELE-02</t>
  </si>
  <si>
    <t>TR</t>
  </si>
  <si>
    <t>Rotor</t>
  </si>
  <si>
    <t>High Vibration</t>
  </si>
  <si>
    <t>2024-06-30</t>
  </si>
  <si>
    <t>May-2024</t>
  </si>
  <si>
    <t>MTO-2025-ARP-0007</t>
  </si>
  <si>
    <t>AR-2025-ARP-0020</t>
  </si>
  <si>
    <t>CV-7690</t>
  </si>
  <si>
    <t>2025-03-27</t>
  </si>
  <si>
    <t>CV-7690 Motor Low Performance</t>
  </si>
  <si>
    <t>Equipment Bad Actor</t>
  </si>
  <si>
    <t>ELE-01</t>
  </si>
  <si>
    <t>Low Performance</t>
  </si>
  <si>
    <t>2025-05-26</t>
  </si>
  <si>
    <t>Mar-2025</t>
  </si>
  <si>
    <t>MTO-2024-ZCU-0008</t>
  </si>
  <si>
    <t>AR-2024-ZCU-0130</t>
  </si>
  <si>
    <t>PZ-2154</t>
  </si>
  <si>
    <t>2024-12-14</t>
  </si>
  <si>
    <t>PZ-2154 Gasket Leakage</t>
  </si>
  <si>
    <t>UPSD / Delay Start-up</t>
  </si>
  <si>
    <t>Gasket</t>
  </si>
  <si>
    <t>Leakage</t>
  </si>
  <si>
    <t>2025-02-12</t>
  </si>
  <si>
    <t>Dec-2024</t>
  </si>
  <si>
    <t>MTO-2026-SMX-0009</t>
  </si>
  <si>
    <t>SW-5620C</t>
  </si>
  <si>
    <t>2026-06-15</t>
  </si>
  <si>
    <t>SW-5620C Impeller Worn Out</t>
  </si>
  <si>
    <t>SW</t>
  </si>
  <si>
    <t>Impeller</t>
  </si>
  <si>
    <t>Worn Out</t>
  </si>
  <si>
    <t>MTO-2025-ARP-0010</t>
  </si>
  <si>
    <t>PM-6523C</t>
  </si>
  <si>
    <t>2025-04-26</t>
  </si>
  <si>
    <t>PM-6523C Gasket Leakage</t>
  </si>
  <si>
    <t>REL-03</t>
  </si>
  <si>
    <t>2025-06-25</t>
  </si>
  <si>
    <t>Apr-2025</t>
  </si>
  <si>
    <t>MTO-2025-SMX-0011</t>
  </si>
  <si>
    <t>AR-2025-SMX-0125</t>
  </si>
  <si>
    <t>SW-3411B</t>
  </si>
  <si>
    <t>2025-12-16</t>
  </si>
  <si>
    <t>SW-3411B Control Valve Leakage</t>
  </si>
  <si>
    <t>INS-01</t>
  </si>
  <si>
    <t>Valve</t>
  </si>
  <si>
    <t>Dec-2025</t>
  </si>
  <si>
    <t>MTO-2025-SMX-0012</t>
  </si>
  <si>
    <t>RX-6438</t>
  </si>
  <si>
    <t>2025-04-22</t>
  </si>
  <si>
    <t>RX-6438 Shaft Crack</t>
  </si>
  <si>
    <t>Shaft</t>
  </si>
  <si>
    <t>Crack</t>
  </si>
  <si>
    <t>2025-05-22</t>
  </si>
  <si>
    <t>MTO-2025-CRP-0013</t>
  </si>
  <si>
    <t>CV-8399C</t>
  </si>
  <si>
    <t>2025-03-11</t>
  </si>
  <si>
    <t>CV-8399C Solenoid Malfunction</t>
  </si>
  <si>
    <t>Solenoid</t>
  </si>
  <si>
    <t>Malfunction</t>
  </si>
  <si>
    <t>2025-04-10</t>
  </si>
  <si>
    <t>MTO-2025-NUP-0014</t>
  </si>
  <si>
    <t>FN-7159</t>
  </si>
  <si>
    <t>2025-09-16</t>
  </si>
  <si>
    <t>FN-7159 Bearing High Vibration</t>
  </si>
  <si>
    <t>Bearing</t>
  </si>
  <si>
    <t>Sep-2025</t>
  </si>
  <si>
    <t>MTO-2024-SMX-0015</t>
  </si>
  <si>
    <t>AR-2024-SMX-0039</t>
  </si>
  <si>
    <t>TX-8176</t>
  </si>
  <si>
    <t>2024-05-18</t>
  </si>
  <si>
    <t>TX-8176 Gearbox High Vibration</t>
  </si>
  <si>
    <t>OPS-01</t>
  </si>
  <si>
    <t>Gearbox</t>
  </si>
  <si>
    <t>MTO-2025-NUP-0016</t>
  </si>
  <si>
    <t>AR-2025-NUP-0234</t>
  </si>
  <si>
    <t>PU-8272</t>
  </si>
  <si>
    <t>2025-06-16</t>
  </si>
  <si>
    <t>PU-8272 Exchanger Fouling</t>
  </si>
  <si>
    <t>Fouling</t>
  </si>
  <si>
    <t>Jun-2025</t>
  </si>
  <si>
    <t>MTO-2024-SMX-0017</t>
  </si>
  <si>
    <t>TX-5843</t>
  </si>
  <si>
    <t>2024-05-04</t>
  </si>
  <si>
    <t>TX-5843 Coupling Worn Out</t>
  </si>
  <si>
    <t>2024-06-03</t>
  </si>
  <si>
    <t>MTO-2025-SMX-0018</t>
  </si>
  <si>
    <t>AR-2025-SMX-0109</t>
  </si>
  <si>
    <t>SW-4963</t>
  </si>
  <si>
    <t>2025-10-25</t>
  </si>
  <si>
    <t>SW-4963 Control Valve Leakage</t>
  </si>
  <si>
    <t>ROT-02</t>
  </si>
  <si>
    <t>Oct-2025</t>
  </si>
  <si>
    <t>MTO-2025-OP2-0019</t>
  </si>
  <si>
    <t>AR-2025-OP2-0135</t>
  </si>
  <si>
    <t>PM-3818A</t>
  </si>
  <si>
    <t>2025-06-29</t>
  </si>
  <si>
    <t>PM-3818A Control Valve Stuck</t>
  </si>
  <si>
    <t>Stuck</t>
  </si>
  <si>
    <t>MTO-2026-SMX-0020</t>
  </si>
  <si>
    <t>PU-2895</t>
  </si>
  <si>
    <t>2026-03-26</t>
  </si>
  <si>
    <t>PU-2895 Control Valve Leakage</t>
  </si>
  <si>
    <t>2026-04-25</t>
  </si>
  <si>
    <t>MTO-2024-BRP-0021</t>
  </si>
  <si>
    <t>AR-2024-BRP-0112</t>
  </si>
  <si>
    <t>TX-6085B</t>
  </si>
  <si>
    <t>2024-12-26</t>
  </si>
  <si>
    <t>TX-6085B Rotor High Vibration</t>
  </si>
  <si>
    <t>2025-01-25</t>
  </si>
  <si>
    <t>MTO-2024-OP3-0022</t>
  </si>
  <si>
    <t>TK-5150B</t>
  </si>
  <si>
    <t>2024-04-18</t>
  </si>
  <si>
    <t>TK-5150B Rotor High Vibration</t>
  </si>
  <si>
    <t>STA-01</t>
  </si>
  <si>
    <t>Apr-2024</t>
  </si>
  <si>
    <t>MTO-2024-OP2-0023</t>
  </si>
  <si>
    <t>AR-2024-OP2-0156</t>
  </si>
  <si>
    <t>PU-1188B</t>
  </si>
  <si>
    <t>2024-09-20</t>
  </si>
  <si>
    <t>PU-1188B Transmitter Error</t>
  </si>
  <si>
    <t>Transmitter</t>
  </si>
  <si>
    <t>Error</t>
  </si>
  <si>
    <t>2024-10-20</t>
  </si>
  <si>
    <t>Sep-2024</t>
  </si>
  <si>
    <t>MTO-2025-OP2-0024</t>
  </si>
  <si>
    <t>PM-8055</t>
  </si>
  <si>
    <t>2025-08-31</t>
  </si>
  <si>
    <t>PM-8055 Oil Seal Leakage</t>
  </si>
  <si>
    <t>Oil Seal</t>
  </si>
  <si>
    <t>Aug-2025</t>
  </si>
  <si>
    <t>MTO-2024-OP3-0025</t>
  </si>
  <si>
    <t>AR-2024-OP3-0032</t>
  </si>
  <si>
    <t>PU-7290C</t>
  </si>
  <si>
    <t>2024-10-15</t>
  </si>
  <si>
    <t>PU-7290C Motor Low Performance</t>
  </si>
  <si>
    <t>Oct-2024</t>
  </si>
  <si>
    <t>MTO-2024-ZCU-0026</t>
  </si>
  <si>
    <t>PZ-4479</t>
  </si>
  <si>
    <t>PZ-4479 Mechanical Seal Leak</t>
  </si>
  <si>
    <t>ROT-03</t>
  </si>
  <si>
    <t>MTO-2025-SMX-0027</t>
  </si>
  <si>
    <t>AR-2025-SMX-0167</t>
  </si>
  <si>
    <t>PM-1191</t>
  </si>
  <si>
    <t>2025-12-01</t>
  </si>
  <si>
    <t>PM-1191 Transmitter Error</t>
  </si>
  <si>
    <t>MTO-2026-OPU-0028</t>
  </si>
  <si>
    <t>PZ-6185</t>
  </si>
  <si>
    <t>2026-06-05</t>
  </si>
  <si>
    <t>PZ-6185 Seal Leakage</t>
  </si>
  <si>
    <t>Seal</t>
  </si>
  <si>
    <t>MTO-2026-BDX-0029</t>
  </si>
  <si>
    <t>AR-2026-BDX-0161</t>
  </si>
  <si>
    <t>PM-5600B</t>
  </si>
  <si>
    <t>2026-02-02</t>
  </si>
  <si>
    <t>PM-5600B Transmitter Error</t>
  </si>
  <si>
    <t>2026-03-19</t>
  </si>
  <si>
    <t>Feb-2026</t>
  </si>
  <si>
    <t>MTO-2024-SMX-0030</t>
  </si>
  <si>
    <t>PM-6753C</t>
  </si>
  <si>
    <t>2024-06-06</t>
  </si>
  <si>
    <t>PM-6753C Bearing Overheat</t>
  </si>
  <si>
    <t>Overheat</t>
  </si>
  <si>
    <t>2024-07-06</t>
  </si>
  <si>
    <t>Jun-2024</t>
  </si>
  <si>
    <t>MTO-2025-ARP-0031</t>
  </si>
  <si>
    <t>TR-5690</t>
  </si>
  <si>
    <t>2025-06-30</t>
  </si>
  <si>
    <t>TR-5690 Motor Low Performance</t>
  </si>
  <si>
    <t>2025-08-29</t>
  </si>
  <si>
    <t>MTO-2024-OPP-0032</t>
  </si>
  <si>
    <t>TK-8363B</t>
  </si>
  <si>
    <t>2024-09-24</t>
  </si>
  <si>
    <t>TK-8363B Control Valve Stuck</t>
  </si>
  <si>
    <t>MTO-2025-OPP-0033</t>
  </si>
  <si>
    <t>AR-2025-OPP-0078</t>
  </si>
  <si>
    <t>TK-1241A</t>
  </si>
  <si>
    <t>2025-03-08</t>
  </si>
  <si>
    <t>TK-1241A Bearing Overheat</t>
  </si>
  <si>
    <t>2025-04-07</t>
  </si>
  <si>
    <t>MTO-2025-ARP-0034</t>
  </si>
  <si>
    <t>AR-2025-ARP-0213</t>
  </si>
  <si>
    <t>TX-3672C</t>
  </si>
  <si>
    <t>2025-06-28</t>
  </si>
  <si>
    <t>TX-3672C Rotor High Vibration</t>
  </si>
  <si>
    <t>2025-08-12</t>
  </si>
  <si>
    <t>MTO-2025-CRP-0035</t>
  </si>
  <si>
    <t>SW-1565</t>
  </si>
  <si>
    <t>2025-11-30</t>
  </si>
  <si>
    <t>SW-1565 Bearing Worn Out</t>
  </si>
  <si>
    <t>Nov-2025</t>
  </si>
  <si>
    <t>MTO-2026-BDX-0036</t>
  </si>
  <si>
    <t>AR-2026-BDX-0040</t>
  </si>
  <si>
    <t>RX-3569A</t>
  </si>
  <si>
    <t>2026-07-17</t>
  </si>
  <si>
    <t>RX-3569A Exchanger Fouling</t>
  </si>
  <si>
    <t>MTO-2025-NUP-0037</t>
  </si>
  <si>
    <t>TK-3192B</t>
  </si>
  <si>
    <t>2025-03-28</t>
  </si>
  <si>
    <t>TK-3192B Impeller Worn Out</t>
  </si>
  <si>
    <t>INS-02</t>
  </si>
  <si>
    <t>MTO-2024-TKX-0038</t>
  </si>
  <si>
    <t>AR-2024-TKX-0174</t>
  </si>
  <si>
    <t>CV-3404</t>
  </si>
  <si>
    <t>2024-12-05</t>
  </si>
  <si>
    <t>CV-3404 Solenoid Malfunction</t>
  </si>
  <si>
    <t>2025-02-03</t>
  </si>
  <si>
    <t>MTO-2026-OP3-0039</t>
  </si>
  <si>
    <t>AR-2026-OP3-0200</t>
  </si>
  <si>
    <t>TX-3884B</t>
  </si>
  <si>
    <t>2026-05-11</t>
  </si>
  <si>
    <t>TX-3884B Impeller Worn Out</t>
  </si>
  <si>
    <t>2026-06-25</t>
  </si>
  <si>
    <t>MTO-2026-BDX-0040</t>
  </si>
  <si>
    <t>PU-6212</t>
  </si>
  <si>
    <t>PU-6212 Transmitter Error</t>
  </si>
  <si>
    <t>MTO-2025-ZCU-0041</t>
  </si>
  <si>
    <t>HE-2276B</t>
  </si>
  <si>
    <t>C</t>
  </si>
  <si>
    <t>2025-01-13</t>
  </si>
  <si>
    <t>HE-2276B Rotor High Vibration</t>
  </si>
  <si>
    <t>Jan-2025</t>
  </si>
  <si>
    <t>MTO-2025-SMX-0042</t>
  </si>
  <si>
    <t>TX-1231B</t>
  </si>
  <si>
    <t>2025-12-29</t>
  </si>
  <si>
    <t>TX-1231B Rotor High Vibration</t>
  </si>
  <si>
    <t>2026-02-12</t>
  </si>
  <si>
    <t>MTO-2025-SMX-0043</t>
  </si>
  <si>
    <t>AR-2025-SMX-0056</t>
  </si>
  <si>
    <t>PZ-1300C</t>
  </si>
  <si>
    <t>2025-09-13</t>
  </si>
  <si>
    <t>PZ-1300C Solenoid Malfunction</t>
  </si>
  <si>
    <t>MTO-2025-ZCU-0044</t>
  </si>
  <si>
    <t>CV-6587</t>
  </si>
  <si>
    <t>2025-08-18</t>
  </si>
  <si>
    <t>CV-6587 Bearing Overheat</t>
  </si>
  <si>
    <t>MTO-2024-OP3-0045</t>
  </si>
  <si>
    <t>PU-8073A</t>
  </si>
  <si>
    <t>2024-11-21</t>
  </si>
  <si>
    <t>PU-8073A Shaft Crack</t>
  </si>
  <si>
    <t>2024-12-21</t>
  </si>
  <si>
    <t>Nov-2024</t>
  </si>
  <si>
    <t>MTO-2025-SMX-0046</t>
  </si>
  <si>
    <t>AR-2025-SMX-0040</t>
  </si>
  <si>
    <t>TX-7355C</t>
  </si>
  <si>
    <t>2025-03-15</t>
  </si>
  <si>
    <t>TX-7355C Solenoid Malfunction</t>
  </si>
  <si>
    <t>2025-05-14</t>
  </si>
  <si>
    <t>MTO-2024-ZCU-0047</t>
  </si>
  <si>
    <t>HE-3296B</t>
  </si>
  <si>
    <t>2024-05-27</t>
  </si>
  <si>
    <t>HE-3296B Bearing High Vibration</t>
  </si>
  <si>
    <t>2024-06-26</t>
  </si>
  <si>
    <t>MTO-2025-ARP-0048</t>
  </si>
  <si>
    <t>AR-2025-ARP-0121</t>
  </si>
  <si>
    <t>RX-8843</t>
  </si>
  <si>
    <t>2025-11-27</t>
  </si>
  <si>
    <t>RX-8843 Shaft Crack</t>
  </si>
  <si>
    <t>2025-12-27</t>
  </si>
  <si>
    <t>MTO-2024-ZCU-0049</t>
  </si>
  <si>
    <t>PZ-7199</t>
  </si>
  <si>
    <t>2024-02-29</t>
  </si>
  <si>
    <t>PZ-7199 Seal Leakage</t>
  </si>
  <si>
    <t>2024-04-14</t>
  </si>
  <si>
    <t>Feb-2024</t>
  </si>
  <si>
    <t>MTO-2024-OP2-0050</t>
  </si>
  <si>
    <t>AZ-4763B</t>
  </si>
  <si>
    <t>2024-08-05</t>
  </si>
  <si>
    <t>AZ-4763B Impeller Worn Out</t>
  </si>
  <si>
    <t>Inspection Report</t>
  </si>
  <si>
    <t>Aug-2024</t>
  </si>
  <si>
    <t>MTO-2024-NUP-0051</t>
  </si>
  <si>
    <t>PU-6855</t>
  </si>
  <si>
    <t>2024-08-04</t>
  </si>
  <si>
    <t>PU-6855 Oil Seal Leakage</t>
  </si>
  <si>
    <t>MTO-2025-BDX-0052</t>
  </si>
  <si>
    <t>PZ-7054B</t>
  </si>
  <si>
    <t>PZ-7054B Motor Low Performance</t>
  </si>
  <si>
    <t>MTO-2025-ARP-0053</t>
  </si>
  <si>
    <t>BL-6185</t>
  </si>
  <si>
    <t>2025-07-27</t>
  </si>
  <si>
    <t>BL-6185 Gearbox High Vibration</t>
  </si>
  <si>
    <t>2025-08-26</t>
  </si>
  <si>
    <t>Jul-2025</t>
  </si>
  <si>
    <t>MTO-2026-OPP-0054</t>
  </si>
  <si>
    <t>FN-1575</t>
  </si>
  <si>
    <t>2026-04-13</t>
  </si>
  <si>
    <t>FN-1575 Bearing High Vibration</t>
  </si>
  <si>
    <t>MTO-2024-ARP-0055</t>
  </si>
  <si>
    <t>AR-2024-ARP-0247</t>
  </si>
  <si>
    <t>PU-4209</t>
  </si>
  <si>
    <t>2024-01-23</t>
  </si>
  <si>
    <t>PU-4209 Rotor High Vibration</t>
  </si>
  <si>
    <t>Jan-2024</t>
  </si>
  <si>
    <t>MTO-2026-BDX-0056</t>
  </si>
  <si>
    <t>CD-2982B</t>
  </si>
  <si>
    <t>2026-05-27</t>
  </si>
  <si>
    <t>CD-2982B Coupling Loose</t>
  </si>
  <si>
    <t>CD</t>
  </si>
  <si>
    <t>Loose</t>
  </si>
  <si>
    <t>2026-06-26</t>
  </si>
  <si>
    <t>MTO-2025-ARP-0057</t>
  </si>
  <si>
    <t>AR-2025-ARP-0134</t>
  </si>
  <si>
    <t>BL-4126C</t>
  </si>
  <si>
    <t>2025-03-25</t>
  </si>
  <si>
    <t>BL-4126C Blade Breakage</t>
  </si>
  <si>
    <t>Blade</t>
  </si>
  <si>
    <t>Breakage</t>
  </si>
  <si>
    <t>MTO-2024-OPP-0058</t>
  </si>
  <si>
    <t>CV-5933</t>
  </si>
  <si>
    <t>2024-11-17</t>
  </si>
  <si>
    <t>CV-5933 Oil Seal Leakage</t>
  </si>
  <si>
    <t>2025-01-01</t>
  </si>
  <si>
    <t>MTO-2025-TKX-0059</t>
  </si>
  <si>
    <t>PU-7158A</t>
  </si>
  <si>
    <t>2025-02-14</t>
  </si>
  <si>
    <t>PU-7158A Solenoid Malfunction</t>
  </si>
  <si>
    <t>Feb-2025</t>
  </si>
  <si>
    <t>MTO-2025-ZCU-0060</t>
  </si>
  <si>
    <t>CV-8863C</t>
  </si>
  <si>
    <t>2025-07-29</t>
  </si>
  <si>
    <t>CV-8863C Oil Seal Leakage</t>
  </si>
  <si>
    <t>2025-08-28</t>
  </si>
  <si>
    <t>MTO-2024-ARP-0061</t>
  </si>
  <si>
    <t>AR-2024-ARP-0101</t>
  </si>
  <si>
    <t>TX-4861B</t>
  </si>
  <si>
    <t>2024-10-12</t>
  </si>
  <si>
    <t>TX-4861B Bearing High Vibration</t>
  </si>
  <si>
    <t>2024-11-26</t>
  </si>
  <si>
    <t>MTO-2024-ARP-0062</t>
  </si>
  <si>
    <t>BL-1732C</t>
  </si>
  <si>
    <t>2024-03-30</t>
  </si>
  <si>
    <t>BL-1732C Shaft Crack</t>
  </si>
  <si>
    <t>Mar-2024</t>
  </si>
  <si>
    <t>MTO-2025-OP3-0063</t>
  </si>
  <si>
    <t>CV-1608A</t>
  </si>
  <si>
    <t>2025-10-23</t>
  </si>
  <si>
    <t>CV-1608A Oil Seal Leakage</t>
  </si>
  <si>
    <t>MTO-2025-NUP-0064</t>
  </si>
  <si>
    <t>FN-2136</t>
  </si>
  <si>
    <t>2025-12-04</t>
  </si>
  <si>
    <t>FN-2136 Rotor High Vibration</t>
  </si>
  <si>
    <t>MTO-2025-ZCU-0065</t>
  </si>
  <si>
    <t>PU-8189A</t>
  </si>
  <si>
    <t>PU-8189A Exchanger Fouling</t>
  </si>
  <si>
    <t>MTO-2024-BDX-0066</t>
  </si>
  <si>
    <t>BL-1795A</t>
  </si>
  <si>
    <t>2024-12-16</t>
  </si>
  <si>
    <t>BL-1795A Blade Breakage</t>
  </si>
  <si>
    <t>MTO-2025-OPP-0067</t>
  </si>
  <si>
    <t>AR-2025-OPP-0099</t>
  </si>
  <si>
    <t>PM-4639</t>
  </si>
  <si>
    <t>2025-06-24</t>
  </si>
  <si>
    <t>PM-4639 Mechanical Seal Leak</t>
  </si>
  <si>
    <t>2025-08-08</t>
  </si>
  <si>
    <t>MTO-2025-NUP-0068</t>
  </si>
  <si>
    <t>CD-4653</t>
  </si>
  <si>
    <t>CD-4653 Solenoid Malfunction</t>
  </si>
  <si>
    <t>MTO-2024-OP3-0069</t>
  </si>
  <si>
    <t>RX-8107B</t>
  </si>
  <si>
    <t>2024-10-28</t>
  </si>
  <si>
    <t>RX-8107B Transmitter Error</t>
  </si>
  <si>
    <t>2024-12-27</t>
  </si>
  <si>
    <t>MTO-2025-OP3-0070</t>
  </si>
  <si>
    <t>AR-2025-OP3-0128</t>
  </si>
  <si>
    <t>BL-2438</t>
  </si>
  <si>
    <t>2025-01-22</t>
  </si>
  <si>
    <t>BL-2438 Transmitter Error</t>
  </si>
  <si>
    <t>MTO-2025-ZCU-0071</t>
  </si>
  <si>
    <t>PU-5209B</t>
  </si>
  <si>
    <t>2025-11-28</t>
  </si>
  <si>
    <t>PU-5209B Gearbox High Vibration</t>
  </si>
  <si>
    <t>2026-01-27</t>
  </si>
  <si>
    <t>MTO-2024-CRP-0072</t>
  </si>
  <si>
    <t>AR-2024-CRP-0222</t>
  </si>
  <si>
    <t>BL-2806</t>
  </si>
  <si>
    <t>2024-12-24</t>
  </si>
  <si>
    <t>BL-2806 Bearing Overheat</t>
  </si>
  <si>
    <t>MTO-2026-CRP-0073</t>
  </si>
  <si>
    <t>AR-2026-CRP-0102</t>
  </si>
  <si>
    <t>KO-2432C</t>
  </si>
  <si>
    <t>2026-01-30</t>
  </si>
  <si>
    <t>KO-2432C Control Valve Leakage</t>
  </si>
  <si>
    <t>2026-03-01</t>
  </si>
  <si>
    <t>Jan-2026</t>
  </si>
  <si>
    <t>MTO-2025-BRP-0074</t>
  </si>
  <si>
    <t>CV-2925B</t>
  </si>
  <si>
    <t>2025-04-13</t>
  </si>
  <si>
    <t>CV-2925B Impeller Worn Out</t>
  </si>
  <si>
    <t>2025-05-13</t>
  </si>
  <si>
    <t>MTO-2026-NUP-0075</t>
  </si>
  <si>
    <t>SW-2483</t>
  </si>
  <si>
    <t>2026-06-14</t>
  </si>
  <si>
    <t>SW-2483 Gearbox High Vibration</t>
  </si>
  <si>
    <t>MTO-2024-ZCU-0076</t>
  </si>
  <si>
    <t>AR-2024-ZCU-0109</t>
  </si>
  <si>
    <t>RX-4619C</t>
  </si>
  <si>
    <t>2024-05-14</t>
  </si>
  <si>
    <t>RX-4619C Bearing Worn Out</t>
  </si>
  <si>
    <t>2024-06-13</t>
  </si>
  <si>
    <t>MTO-2024-OPU-0077</t>
  </si>
  <si>
    <t>KO-5967B</t>
  </si>
  <si>
    <t>KO-5967B Gearbox High Vibration</t>
  </si>
  <si>
    <t>MTO-2024-OPP-0078</t>
  </si>
  <si>
    <t>TR-2916</t>
  </si>
  <si>
    <t>2024-09-27</t>
  </si>
  <si>
    <t>TR-2916 Motor Low Performance</t>
  </si>
  <si>
    <t>2024-10-27</t>
  </si>
  <si>
    <t>MTO-2025-OPU-0079</t>
  </si>
  <si>
    <t>RX-3931</t>
  </si>
  <si>
    <t>2025-12-25</t>
  </si>
  <si>
    <t>RX-3931 Control Valve Stuck</t>
  </si>
  <si>
    <t>MTO-2026-BDX-0080</t>
  </si>
  <si>
    <t>AR-2026-BDX-0146</t>
  </si>
  <si>
    <t>PZ-6299C</t>
  </si>
  <si>
    <t>2026-01-15</t>
  </si>
  <si>
    <t>PZ-6299C Exchanger Fouling</t>
  </si>
  <si>
    <t>MTO-2025-OPP-0081</t>
  </si>
  <si>
    <t>RX-7490B</t>
  </si>
  <si>
    <t>2025-01-21</t>
  </si>
  <si>
    <t>RX-7490B Oil Seal Leakage</t>
  </si>
  <si>
    <t>2025-02-20</t>
  </si>
  <si>
    <t>MTO-2026-OPP-0082</t>
  </si>
  <si>
    <t>AR-2026-OPP-0163</t>
  </si>
  <si>
    <t>PM-1018A</t>
  </si>
  <si>
    <t>2026-02-27</t>
  </si>
  <si>
    <t>PM-1018A Solenoid Malfunction</t>
  </si>
  <si>
    <t>2026-04-28</t>
  </si>
  <si>
    <t>MTO-2024-OPP-0083</t>
  </si>
  <si>
    <t>BL-1954</t>
  </si>
  <si>
    <t>2024-02-25</t>
  </si>
  <si>
    <t>BL-1954 Transmitter Error</t>
  </si>
  <si>
    <t>MTO-2026-BRP-0084</t>
  </si>
  <si>
    <t>AR-2026-BRP-0117</t>
  </si>
  <si>
    <t>PM-8555B</t>
  </si>
  <si>
    <t>2026-05-03</t>
  </si>
  <si>
    <t>PM-8555B Impeller Worn Out</t>
  </si>
  <si>
    <t>2026-07-02</t>
  </si>
  <si>
    <t>MTO-2025-CRP-0085</t>
  </si>
  <si>
    <t>TX-3354</t>
  </si>
  <si>
    <t>2025-02-26</t>
  </si>
  <si>
    <t>TX-3354 Mechanical Seal Leak</t>
  </si>
  <si>
    <t>2025-04-27</t>
  </si>
  <si>
    <t>MTO-2024-ZCU-0086</t>
  </si>
  <si>
    <t>AR-2024-ZCU-0078</t>
  </si>
  <si>
    <t>BL-1631B</t>
  </si>
  <si>
    <t>2024-10-29</t>
  </si>
  <si>
    <t>BL-1631B Exchanger Fouling</t>
  </si>
  <si>
    <t>2024-12-28</t>
  </si>
  <si>
    <t>MTO-2025-ZCU-0087</t>
  </si>
  <si>
    <t>TX-5573B</t>
  </si>
  <si>
    <t>TX-5573B Gasket Leakage</t>
  </si>
  <si>
    <t>2025-09-12</t>
  </si>
  <si>
    <t>MTO-2025-ARP-0088</t>
  </si>
  <si>
    <t>AR-2025-ARP-0236</t>
  </si>
  <si>
    <t>CD-1529</t>
  </si>
  <si>
    <t>2025-01-06</t>
  </si>
  <si>
    <t>CD-1529 Coupling Loose</t>
  </si>
  <si>
    <t>Quality Loss</t>
  </si>
  <si>
    <t>MTO-2024-BDX-0089</t>
  </si>
  <si>
    <t>BL-8286</t>
  </si>
  <si>
    <t>2024-02-04</t>
  </si>
  <si>
    <t>BL-8286 Exchanger Fouling</t>
  </si>
  <si>
    <t>MTO-2025-BDX-0090</t>
  </si>
  <si>
    <t>PU-7196C</t>
  </si>
  <si>
    <t>2025-12-19</t>
  </si>
  <si>
    <t>PU-7196C Motor Low Performance</t>
  </si>
  <si>
    <t>MTO-2024-ARP-0091</t>
  </si>
  <si>
    <t>SW-5428</t>
  </si>
  <si>
    <t>2024-04-06</t>
  </si>
  <si>
    <t>SW-5428 Seal Leakage</t>
  </si>
  <si>
    <t>2024-05-21</t>
  </si>
  <si>
    <t>MTO-2024-SMX-0092</t>
  </si>
  <si>
    <t>TX-3821C</t>
  </si>
  <si>
    <t>2024-07-25</t>
  </si>
  <si>
    <t>TX-3821C Bearing Overheat</t>
  </si>
  <si>
    <t>2024-09-08</t>
  </si>
  <si>
    <t>Jul-2024</t>
  </si>
  <si>
    <t>MTO-2024-OP3-0093</t>
  </si>
  <si>
    <t>AR-2024-OP3-0090</t>
  </si>
  <si>
    <t>CD-3164</t>
  </si>
  <si>
    <t>2024-05-03</t>
  </si>
  <si>
    <t>CD-3164 Rotor High Vibration</t>
  </si>
  <si>
    <t>2024-06-02</t>
  </si>
  <si>
    <t>MTO-2025-BDX-0094</t>
  </si>
  <si>
    <t>AR-2025-BDX-0218</t>
  </si>
  <si>
    <t>PM-6744</t>
  </si>
  <si>
    <t>2025-02-07</t>
  </si>
  <si>
    <t>PM-6744 Control Valve Leakage</t>
  </si>
  <si>
    <t>MTO-2025-CRP-0095</t>
  </si>
  <si>
    <t>AZ-7326B</t>
  </si>
  <si>
    <t>2025-01-11</t>
  </si>
  <si>
    <t>AZ-7326B Solenoid Malfunction</t>
  </si>
  <si>
    <t>KO-6912A</t>
  </si>
  <si>
    <t>KO-6912A Transmitter Error</t>
  </si>
  <si>
    <t>MTO-2026-CRP-0097</t>
  </si>
  <si>
    <t>AR-2026-CRP-0015</t>
  </si>
  <si>
    <t>HE-7828C</t>
  </si>
  <si>
    <t>HE-7828C Solenoid Malfunction</t>
  </si>
  <si>
    <t>2026-08-24</t>
  </si>
  <si>
    <t>MTO-2026-ZCU-0098</t>
  </si>
  <si>
    <t>TR-8775A</t>
  </si>
  <si>
    <t>TR-8775A Seal Leakage</t>
  </si>
  <si>
    <t>MTO-2026-OP3-0099</t>
  </si>
  <si>
    <t>AR-2026-OP3-0227</t>
  </si>
  <si>
    <t>TK-7586B</t>
  </si>
  <si>
    <t>2026-02-07</t>
  </si>
  <si>
    <t>TK-7586B Solenoid Malfunction</t>
  </si>
  <si>
    <t>2026-03-09</t>
  </si>
  <si>
    <t>MTO-2026-ZCU-0100</t>
  </si>
  <si>
    <t>AR-2026-ZCU-0052</t>
  </si>
  <si>
    <t>KO-1172C</t>
  </si>
  <si>
    <t>2026-01-03</t>
  </si>
  <si>
    <t>KO-1172C Mechanical Seal Leak</t>
  </si>
  <si>
    <t>MTO-2024-ZCU-0101</t>
  </si>
  <si>
    <t>TX-3554</t>
  </si>
  <si>
    <t>2024-08-12</t>
  </si>
  <si>
    <t>TX-3554 Bearing High Vibration</t>
  </si>
  <si>
    <t>MTO-2026-ZCU-0102</t>
  </si>
  <si>
    <t>BL-3912</t>
  </si>
  <si>
    <t>2026-05-24</t>
  </si>
  <si>
    <t>BL-3912 Transmitter Error</t>
  </si>
  <si>
    <t>MTO-2024-OPU-0103</t>
  </si>
  <si>
    <t>BL-7186C</t>
  </si>
  <si>
    <t>2024-01-04</t>
  </si>
  <si>
    <t>BL-7186C Control Valve Leakage</t>
  </si>
  <si>
    <t>MTO-2026-ZCU-0104</t>
  </si>
  <si>
    <t>PM-4607</t>
  </si>
  <si>
    <t>2026-07-25</t>
  </si>
  <si>
    <t>PM-4607 Impeller Worn Out</t>
  </si>
  <si>
    <t>MTO-2025-OP3-0105</t>
  </si>
  <si>
    <t>TX-5871</t>
  </si>
  <si>
    <t>2025-09-10</t>
  </si>
  <si>
    <t>TX-5871 Control Valve Leakage</t>
  </si>
  <si>
    <t>MTO-2025-OP2-0106</t>
  </si>
  <si>
    <t>PU-7657</t>
  </si>
  <si>
    <t>2025-06-08</t>
  </si>
  <si>
    <t>PU-7657 Coupling Worn Out</t>
  </si>
  <si>
    <t>2025-07-23</t>
  </si>
  <si>
    <t>MTO-2024-SMX-0107</t>
  </si>
  <si>
    <t>BL-8930A</t>
  </si>
  <si>
    <t>2024-09-23</t>
  </si>
  <si>
    <t>BL-8930A Exchanger Fouling</t>
  </si>
  <si>
    <t>MTO-2024-SMX-0108</t>
  </si>
  <si>
    <t>PM-4728A</t>
  </si>
  <si>
    <t>2024-09-17</t>
  </si>
  <si>
    <t>PM-4728A Rotor High Vibration</t>
  </si>
  <si>
    <t>2024-11-16</t>
  </si>
  <si>
    <t>MTO-2026-TKX-0109</t>
  </si>
  <si>
    <t>AR-2026-TKX-0226</t>
  </si>
  <si>
    <t>TX-6768B</t>
  </si>
  <si>
    <t>2026-03-22</t>
  </si>
  <si>
    <t>TX-6768B Coupling Worn Out</t>
  </si>
  <si>
    <t>MTO-2026-BRP-0110</t>
  </si>
  <si>
    <t>HE-1493</t>
  </si>
  <si>
    <t>2026-03-27</t>
  </si>
  <si>
    <t>HE-1493 Exchanger Fouling</t>
  </si>
  <si>
    <t>MTO-2024-CRP-0111</t>
  </si>
  <si>
    <t>TX-3809A</t>
  </si>
  <si>
    <t>TX-3809A Coupling Worn Out</t>
  </si>
  <si>
    <t>MTO-2025-OP3-0112</t>
  </si>
  <si>
    <t>AR-2025-OP3-0140</t>
  </si>
  <si>
    <t>TK-6638</t>
  </si>
  <si>
    <t>2025-02-09</t>
  </si>
  <si>
    <t>TK-6638 Rotor High Vibration</t>
  </si>
  <si>
    <t>2025-03-26</t>
  </si>
  <si>
    <t>MTO-2026-OP3-0113</t>
  </si>
  <si>
    <t>AR-2026-OP3-0014</t>
  </si>
  <si>
    <t>PM-3131A</t>
  </si>
  <si>
    <t>2026-02-19</t>
  </si>
  <si>
    <t>PM-3131A Control Valve Leakage</t>
  </si>
  <si>
    <t>MTO-2026-OP3-0114</t>
  </si>
  <si>
    <t>RX-8190C</t>
  </si>
  <si>
    <t>2026-01-18</t>
  </si>
  <si>
    <t>RX-8190C Control Valve Leakage</t>
  </si>
  <si>
    <t>MTO-2025-OPP-0115</t>
  </si>
  <si>
    <t>PZ-5870</t>
  </si>
  <si>
    <t>2025-10-07</t>
  </si>
  <si>
    <t>PZ-5870 Bearing High Vibration</t>
  </si>
  <si>
    <t>2025-11-06</t>
  </si>
  <si>
    <t>MTO-2024-ARP-0116</t>
  </si>
  <si>
    <t>PU-7899A</t>
  </si>
  <si>
    <t>2024-05-28</t>
  </si>
  <si>
    <t>PU-7899A Oil Seal Leakage</t>
  </si>
  <si>
    <t>2024-07-12</t>
  </si>
  <si>
    <t>MTO-2024-BRP-0117</t>
  </si>
  <si>
    <t>PM-5170C</t>
  </si>
  <si>
    <t>2024-04-28</t>
  </si>
  <si>
    <t>PM-5170C Control Valve Leakage</t>
  </si>
  <si>
    <t>2024-06-27</t>
  </si>
  <si>
    <t>MTO-2026-NUP-0118</t>
  </si>
  <si>
    <t>TR-2677C</t>
  </si>
  <si>
    <t>2026-04-09</t>
  </si>
  <si>
    <t>TR-2677C Exchanger Fouling</t>
  </si>
  <si>
    <t>2026-05-09</t>
  </si>
  <si>
    <t>MTO-2024-CRP-0119</t>
  </si>
  <si>
    <t>PZ-6565A</t>
  </si>
  <si>
    <t>PZ-6565A Motor Low Performance</t>
  </si>
  <si>
    <t>2024-12-04</t>
  </si>
  <si>
    <t>MTO-2025-OP2-0120</t>
  </si>
  <si>
    <t>AR-2025-OP2-0106</t>
  </si>
  <si>
    <t>TX-1722A</t>
  </si>
  <si>
    <t>2025-02-17</t>
  </si>
  <si>
    <t>TX-1722A Gasket Leakage</t>
  </si>
  <si>
    <t>2025-03-19</t>
  </si>
  <si>
    <t>MTO-2024-OP2-0121</t>
  </si>
  <si>
    <t>TK-5168C</t>
  </si>
  <si>
    <t>2024-12-11</t>
  </si>
  <si>
    <t>TK-5168C Control Valve Leakage</t>
  </si>
  <si>
    <t>MTO-2025-OPP-0122</t>
  </si>
  <si>
    <t>FN-7608</t>
  </si>
  <si>
    <t>FN-7608 Motor Low Performance</t>
  </si>
  <si>
    <t>2025-03-16</t>
  </si>
  <si>
    <t>MTO-2025-OPP-0123</t>
  </si>
  <si>
    <t>AZ-1653C</t>
  </si>
  <si>
    <t>2025-05-03</t>
  </si>
  <si>
    <t>AZ-1653C Oil Seal Leakage</t>
  </si>
  <si>
    <t>May-2025</t>
  </si>
  <si>
    <t>MTO-2025-OP2-0124</t>
  </si>
  <si>
    <t>HE-6128</t>
  </si>
  <si>
    <t>2025-08-09</t>
  </si>
  <si>
    <t>HE-6128 Blade Breakage</t>
  </si>
  <si>
    <t>MTO-2024-ZCU-0125</t>
  </si>
  <si>
    <t>RX-6481</t>
  </si>
  <si>
    <t>2024-04-25</t>
  </si>
  <si>
    <t>RX-6481 Impeller Worn Out</t>
  </si>
  <si>
    <t>MTO-2025-ARP-0126</t>
  </si>
  <si>
    <t>PZ-2526C</t>
  </si>
  <si>
    <t>2025-09-23</t>
  </si>
  <si>
    <t>PZ-2526C Motor Low Performance</t>
  </si>
  <si>
    <t>MTO-2024-OP2-0127</t>
  </si>
  <si>
    <t>CD-2356A</t>
  </si>
  <si>
    <t>2024-10-06</t>
  </si>
  <si>
    <t>CD-2356A Control Valve Leakage</t>
  </si>
  <si>
    <t>2024-11-20</t>
  </si>
  <si>
    <t>MTO-2024-OP2-0128</t>
  </si>
  <si>
    <t>RX-2091B</t>
  </si>
  <si>
    <t>2024-11-02</t>
  </si>
  <si>
    <t>RX-2091B Gasket Leakage</t>
  </si>
  <si>
    <t>MTO-2026-OP2-0129</t>
  </si>
  <si>
    <t>AR-2026-OP2-0171</t>
  </si>
  <si>
    <t>BL-2287A</t>
  </si>
  <si>
    <t>2026-01-16</t>
  </si>
  <si>
    <t>BL-2287A Blade Breakage</t>
  </si>
  <si>
    <t>MTO-2024-BDX-0130</t>
  </si>
  <si>
    <t>AR-2024-BDX-0076</t>
  </si>
  <si>
    <t>CD-6044A</t>
  </si>
  <si>
    <t>2024-01-29</t>
  </si>
  <si>
    <t>CD-6044A Coupling Worn Out</t>
  </si>
  <si>
    <t>2024-03-14</t>
  </si>
  <si>
    <t>MTO-2024-OP2-0131</t>
  </si>
  <si>
    <t>RX-3576</t>
  </si>
  <si>
    <t>RX-3576 Solenoid Malfunction</t>
  </si>
  <si>
    <t>MTO-2025-OPU-0132</t>
  </si>
  <si>
    <t>AR-2025-OPU-0206</t>
  </si>
  <si>
    <t>TR-3696</t>
  </si>
  <si>
    <t>TR-3696 Motor Low Performance</t>
  </si>
  <si>
    <t>MTO-2024-ZCU-0133</t>
  </si>
  <si>
    <t>AR-2024-ZCU-0236</t>
  </si>
  <si>
    <t>RX-3112</t>
  </si>
  <si>
    <t>2024-08-31</t>
  </si>
  <si>
    <t>RX-3112 Bearing High Vibration</t>
  </si>
  <si>
    <t>2024-09-30</t>
  </si>
  <si>
    <t>MTO-2024-ZCU-0134</t>
  </si>
  <si>
    <t>PZ-8690B</t>
  </si>
  <si>
    <t>2024-03-13</t>
  </si>
  <si>
    <t>PZ-8690B Motor Low Performance</t>
  </si>
  <si>
    <t>MTO-2025-ZCU-0135</t>
  </si>
  <si>
    <t>AR-2025-ZCU-0212</t>
  </si>
  <si>
    <t>TX-3876B</t>
  </si>
  <si>
    <t>2025-10-12</t>
  </si>
  <si>
    <t>TX-3876B Control Valve Stuck</t>
  </si>
  <si>
    <t>MTO-2026-NUP-0136</t>
  </si>
  <si>
    <t>FN-3044</t>
  </si>
  <si>
    <t>2026-07-10</t>
  </si>
  <si>
    <t>FN-3044 Seal Leakage</t>
  </si>
  <si>
    <t>MTO-2025-OPP-0137</t>
  </si>
  <si>
    <t>SW-3674B</t>
  </si>
  <si>
    <t>2025-08-02</t>
  </si>
  <si>
    <t>SW-3674B Bearing Overheat</t>
  </si>
  <si>
    <t>MTO-2025-SMX-0138</t>
  </si>
  <si>
    <t>BL-7185B</t>
  </si>
  <si>
    <t>2025-01-09</t>
  </si>
  <si>
    <t>BL-7185B Coupling Worn Out</t>
  </si>
  <si>
    <t>MTO-2024-ZCU-0139</t>
  </si>
  <si>
    <t>PU-4041C</t>
  </si>
  <si>
    <t>PU-4041C Control Valve Leakage</t>
  </si>
  <si>
    <t>MTO-2025-OP3-0140</t>
  </si>
  <si>
    <t>AR-2025-OP3-0228</t>
  </si>
  <si>
    <t>TK-1610C</t>
  </si>
  <si>
    <t>2025-07-07</t>
  </si>
  <si>
    <t>TK-1610C Transmitter Error</t>
  </si>
  <si>
    <t>2025-09-05</t>
  </si>
  <si>
    <t>MTO-2025-BRP-0141</t>
  </si>
  <si>
    <t>HE-1090B</t>
  </si>
  <si>
    <t>2025-06-15</t>
  </si>
  <si>
    <t>HE-1090B Shaft Crack</t>
  </si>
  <si>
    <t>2025-08-14</t>
  </si>
  <si>
    <t>MTO-2024-ZCU-0142</t>
  </si>
  <si>
    <t>SW-6198B</t>
  </si>
  <si>
    <t>2024-09-15</t>
  </si>
  <si>
    <t>SW-6198B Gearbox High Vibration</t>
  </si>
  <si>
    <t>MTO-2026-OP2-0143</t>
  </si>
  <si>
    <t>AR-2026-OP2-0038</t>
  </si>
  <si>
    <t>HE-8579B</t>
  </si>
  <si>
    <t>2026-01-17</t>
  </si>
  <si>
    <t>HE-8579B Gasket Leakage</t>
  </si>
  <si>
    <t>2026-02-16</t>
  </si>
  <si>
    <t>MTO-2024-SMX-0144</t>
  </si>
  <si>
    <t>PM-6481B</t>
  </si>
  <si>
    <t>2024-07-08</t>
  </si>
  <si>
    <t>PM-6481B Coupling Worn Out</t>
  </si>
  <si>
    <t>MTO-2025-SMX-0145</t>
  </si>
  <si>
    <t>AR-2025-SMX-0231</t>
  </si>
  <si>
    <t>RX-5203C</t>
  </si>
  <si>
    <t>2025-03-30</t>
  </si>
  <si>
    <t>RX-5203C Bearing Overheat</t>
  </si>
  <si>
    <t>MTO-2025-OPP-0146</t>
  </si>
  <si>
    <t>AZ-1094B</t>
  </si>
  <si>
    <t>AZ-1094B Impeller Worn Out</t>
  </si>
  <si>
    <t>MTO-2025-BRP-0147</t>
  </si>
  <si>
    <t>AR-2025-BRP-0230</t>
  </si>
  <si>
    <t>AZ-3776A</t>
  </si>
  <si>
    <t>2025-12-17</t>
  </si>
  <si>
    <t>AZ-3776A Bearing Overheat</t>
  </si>
  <si>
    <t>MTO-2024-OP2-0148</t>
  </si>
  <si>
    <t>AR-2024-OP2-0136</t>
  </si>
  <si>
    <t>KO-1107</t>
  </si>
  <si>
    <t>2024-07-23</t>
  </si>
  <si>
    <t>KO-1107 Coupling Worn Out</t>
  </si>
  <si>
    <t>MTO-2024-SMX-0149</t>
  </si>
  <si>
    <t>PZ-3888C</t>
  </si>
  <si>
    <t>2024-02-13</t>
  </si>
  <si>
    <t>PZ-3888C Motor Low Performance</t>
  </si>
  <si>
    <t>2024-04-13</t>
  </si>
  <si>
    <t>MTO-2024-ARP-0150</t>
  </si>
  <si>
    <t>BL-3575</t>
  </si>
  <si>
    <t>2024-07-14</t>
  </si>
  <si>
    <t>BL-3575 Solenoid Malfunction</t>
  </si>
  <si>
    <t>MTO-2025-OP2-0151</t>
  </si>
  <si>
    <t>BL-4956</t>
  </si>
  <si>
    <t>2025-06-10</t>
  </si>
  <si>
    <t>BL-4956 Motor Low Performance</t>
  </si>
  <si>
    <t>MTO-2026-BDX-0152</t>
  </si>
  <si>
    <t>AR-2026-BDX-0134</t>
  </si>
  <si>
    <t>SW-1941A</t>
  </si>
  <si>
    <t>2026-02-24</t>
  </si>
  <si>
    <t>SW-1941A Coupling Loose</t>
  </si>
  <si>
    <t>MTO-2024-OPP-0153</t>
  </si>
  <si>
    <t>PM-8835B</t>
  </si>
  <si>
    <t>2024-06-12</t>
  </si>
  <si>
    <t>PM-8835B Rotor High Vibration</t>
  </si>
  <si>
    <t>MTO-2025-OPP-0154</t>
  </si>
  <si>
    <t>AR-2025-OPP-0185</t>
  </si>
  <si>
    <t>PZ-3313B</t>
  </si>
  <si>
    <t>2025-10-14</t>
  </si>
  <si>
    <t>PZ-3313B Coupling Loose</t>
  </si>
  <si>
    <t>2025-12-13</t>
  </si>
  <si>
    <t>MTO-2024-BRP-0155</t>
  </si>
  <si>
    <t>AR-2024-BRP-0121</t>
  </si>
  <si>
    <t>PU-7733C</t>
  </si>
  <si>
    <t>2024-11-01</t>
  </si>
  <si>
    <t>PU-7733C Bearing Worn Out</t>
  </si>
  <si>
    <t>2024-12-01</t>
  </si>
  <si>
    <t>MTO-2024-TKX-0156</t>
  </si>
  <si>
    <t>AR-2024-TKX-0211</t>
  </si>
  <si>
    <t>FN-3899</t>
  </si>
  <si>
    <t>2024-02-19</t>
  </si>
  <si>
    <t>FN-3899 Exchanger Fouling</t>
  </si>
  <si>
    <t>2024-04-04</t>
  </si>
  <si>
    <t>MTO-2024-CRP-0157</t>
  </si>
  <si>
    <t>SW-6750A</t>
  </si>
  <si>
    <t>2024-11-30</t>
  </si>
  <si>
    <t>SW-6750A Control Valve Stuck</t>
  </si>
  <si>
    <t>MTO-2024-BRP-0158</t>
  </si>
  <si>
    <t>AR-2024-BRP-0158</t>
  </si>
  <si>
    <t>FN-2402A</t>
  </si>
  <si>
    <t>2024-09-19</t>
  </si>
  <si>
    <t>FN-2402A Bearing Overheat</t>
  </si>
  <si>
    <t>MTO-2024-ARP-0159</t>
  </si>
  <si>
    <t>AR-2024-ARP-0240</t>
  </si>
  <si>
    <t>PZ-8155B</t>
  </si>
  <si>
    <t>2024-05-10</t>
  </si>
  <si>
    <t>PZ-8155B Transmitter Error</t>
  </si>
  <si>
    <t>2024-07-09</t>
  </si>
  <si>
    <t>MTO-2026-OPP-0160</t>
  </si>
  <si>
    <t>AR-2026-OPP-0064</t>
  </si>
  <si>
    <t>TX-8349</t>
  </si>
  <si>
    <t>TX-8349 Gearbox High Vibration</t>
  </si>
  <si>
    <t>2026-07-28</t>
  </si>
  <si>
    <t>MTO-2025-ARP-0161</t>
  </si>
  <si>
    <t>TR-3587C</t>
  </si>
  <si>
    <t>2025-01-08</t>
  </si>
  <si>
    <t>TR-3587C Mechanical Seal Leak</t>
  </si>
  <si>
    <t>2025-02-22</t>
  </si>
  <si>
    <t>MTO-2025-ZCU-0162</t>
  </si>
  <si>
    <t>FN-7628A</t>
  </si>
  <si>
    <t>2025-02-19</t>
  </si>
  <si>
    <t>FN-7628A Shaft Crack</t>
  </si>
  <si>
    <t>MTO-2025-ZCU-0163</t>
  </si>
  <si>
    <t>BL-4656C</t>
  </si>
  <si>
    <t>2025-05-27</t>
  </si>
  <si>
    <t>BL-4656C Control Valve Stuck</t>
  </si>
  <si>
    <t>MTO-2026-ZCU-0164</t>
  </si>
  <si>
    <t>PU-6682</t>
  </si>
  <si>
    <t>2026-03-03</t>
  </si>
  <si>
    <t>PU-6682 Motor Low Performance</t>
  </si>
  <si>
    <t>MTO-2024-BDX-0165</t>
  </si>
  <si>
    <t>TX-4966C</t>
  </si>
  <si>
    <t>TX-4966C Seal Leakage</t>
  </si>
  <si>
    <t>2024-08-01</t>
  </si>
  <si>
    <t>MTO-2024-SMX-0166</t>
  </si>
  <si>
    <t>TX-2796A</t>
  </si>
  <si>
    <t>TX-2796A Bearing Overheat</t>
  </si>
  <si>
    <t>2025-02-04</t>
  </si>
  <si>
    <t>MTO-2024-ZCU-0167</t>
  </si>
  <si>
    <t>AZ-3493B</t>
  </si>
  <si>
    <t>2024-02-18</t>
  </si>
  <si>
    <t>AZ-3493B Exchanger Fouling</t>
  </si>
  <si>
    <t>2024-04-03</t>
  </si>
  <si>
    <t>MTO-2025-OP2-0168</t>
  </si>
  <si>
    <t>AR-2025-OP2-0118</t>
  </si>
  <si>
    <t>PM-2566C</t>
  </si>
  <si>
    <t>PM-2566C Coupling Worn Out</t>
  </si>
  <si>
    <t>2026-02-08</t>
  </si>
  <si>
    <t>MTO-2024-OPP-0169</t>
  </si>
  <si>
    <t>BL-2784A</t>
  </si>
  <si>
    <t>BL-2784A Control Valve Leakage</t>
  </si>
  <si>
    <t>MTO-2024-OPP-0170</t>
  </si>
  <si>
    <t>PU-7794</t>
  </si>
  <si>
    <t>2024-11-08</t>
  </si>
  <si>
    <t>PU-7794 Rotor High Vibration</t>
  </si>
  <si>
    <t>MTO-2025-NUP-0171</t>
  </si>
  <si>
    <t>HE-2776A</t>
  </si>
  <si>
    <t>2025-11-14</t>
  </si>
  <si>
    <t>HE-2776A Oil Seal Leakage</t>
  </si>
  <si>
    <t>2026-01-13</t>
  </si>
  <si>
    <t>MTO-2024-OP2-0172</t>
  </si>
  <si>
    <t>AZ-1735A</t>
  </si>
  <si>
    <t>2024-03-27</t>
  </si>
  <si>
    <t>AZ-1735A Oil Seal Leakage</t>
  </si>
  <si>
    <t>2024-04-26</t>
  </si>
  <si>
    <t>MTO-2025-OPP-0173</t>
  </si>
  <si>
    <t>AR-2025-OPP-0169</t>
  </si>
  <si>
    <t>AZ-1424</t>
  </si>
  <si>
    <t>AZ-1424 Bearing High Vibration</t>
  </si>
  <si>
    <t>MTO-2025-OP2-0174</t>
  </si>
  <si>
    <t>AR-2025-OP2-0072</t>
  </si>
  <si>
    <t>AZ-8765C</t>
  </si>
  <si>
    <t>2025-03-13</t>
  </si>
  <si>
    <t>AZ-8765C Bearing Worn Out</t>
  </si>
  <si>
    <t>MTO-2024-BRP-0175</t>
  </si>
  <si>
    <t>AR-2024-BRP-0200</t>
  </si>
  <si>
    <t>AZ-6656C</t>
  </si>
  <si>
    <t>2024-02-01</t>
  </si>
  <si>
    <t>AZ-6656C Blade Breakage</t>
  </si>
  <si>
    <t>2024-04-01</t>
  </si>
  <si>
    <t>MTO-2024-BRP-0176</t>
  </si>
  <si>
    <t>AR-2024-BRP-0245</t>
  </si>
  <si>
    <t>HE-7629</t>
  </si>
  <si>
    <t>2024-11-14</t>
  </si>
  <si>
    <t>HE-7629 Coupling Loose</t>
  </si>
  <si>
    <t>MTO-2024-ARP-0177</t>
  </si>
  <si>
    <t>CV-4573A</t>
  </si>
  <si>
    <t>CV-4573A Coupling Loose</t>
  </si>
  <si>
    <t>MTO-2026-ZCU-0178</t>
  </si>
  <si>
    <t>PM-3070</t>
  </si>
  <si>
    <t>2026-04-21</t>
  </si>
  <si>
    <t>PM-3070 Bearing High Vibration</t>
  </si>
  <si>
    <t>MTO-2025-ARP-0179</t>
  </si>
  <si>
    <t>HE-5523</t>
  </si>
  <si>
    <t>2025-08-03</t>
  </si>
  <si>
    <t>HE-5523 Gasket Leakage</t>
  </si>
  <si>
    <t>2025-09-17</t>
  </si>
  <si>
    <t>MTO-2025-OPP-0180</t>
  </si>
  <si>
    <t>AR-2025-OPP-0142</t>
  </si>
  <si>
    <t>TX-8678</t>
  </si>
  <si>
    <t>2025-12-12</t>
  </si>
  <si>
    <t>TX-8678 Seal Leakage</t>
  </si>
  <si>
    <t>MTO-2024-CRP-0181</t>
  </si>
  <si>
    <t>PU-8356</t>
  </si>
  <si>
    <t>PU-8356 Exchanger Fouling</t>
  </si>
  <si>
    <t>MTO-2024-BDX-0182</t>
  </si>
  <si>
    <t>PU-2931B</t>
  </si>
  <si>
    <t>2024-03-20</t>
  </si>
  <si>
    <t>PU-2931B Bearing High Vibration</t>
  </si>
  <si>
    <t>MTO-2026-OP3-0183</t>
  </si>
  <si>
    <t>AZ-4698B</t>
  </si>
  <si>
    <t>2026-06-07</t>
  </si>
  <si>
    <t>AZ-4698B Oil Seal Leakage</t>
  </si>
  <si>
    <t>MTO-2024-ZCU-0184</t>
  </si>
  <si>
    <t>PM-4526B</t>
  </si>
  <si>
    <t>2024-05-16</t>
  </si>
  <si>
    <t>PM-4526B Bearing High Vibration</t>
  </si>
  <si>
    <t>MTO-2026-OPU-0185</t>
  </si>
  <si>
    <t>AR-2026-OPU-0114</t>
  </si>
  <si>
    <t>TK-6644B</t>
  </si>
  <si>
    <t>2026-05-04</t>
  </si>
  <si>
    <t>TK-6644B Bearing High Vibration</t>
  </si>
  <si>
    <t>2026-06-18</t>
  </si>
  <si>
    <t>MTO-2026-CRP-0186</t>
  </si>
  <si>
    <t>PU-1676A</t>
  </si>
  <si>
    <t>2026-04-07</t>
  </si>
  <si>
    <t>PU-1676A Control Valve Stuck</t>
  </si>
  <si>
    <t>MTO-2025-BRP-0187</t>
  </si>
  <si>
    <t>TK-2079B</t>
  </si>
  <si>
    <t>2025-08-01</t>
  </si>
  <si>
    <t>TK-2079B Shaft Crack</t>
  </si>
  <si>
    <t>MTO-2024-ZCU-0188</t>
  </si>
  <si>
    <t>SW-3050</t>
  </si>
  <si>
    <t>2024-03-06</t>
  </si>
  <si>
    <t>SW-3050 Coupling Worn Out</t>
  </si>
  <si>
    <t>MTO-2024-NUP-0189</t>
  </si>
  <si>
    <t>AR-2024-NUP-0248</t>
  </si>
  <si>
    <t>TR-6283A</t>
  </si>
  <si>
    <t>TR-6283A Transmitter Error</t>
  </si>
  <si>
    <t>MTO-2024-ARP-0190</t>
  </si>
  <si>
    <t>AR-2024-ARP-0027</t>
  </si>
  <si>
    <t>FN-3328B</t>
  </si>
  <si>
    <t>FN-3328B Control Valve Stuck</t>
  </si>
  <si>
    <t>MTO-2024-OPU-0191</t>
  </si>
  <si>
    <t>TX-4689</t>
  </si>
  <si>
    <t>2024-01-15</t>
  </si>
  <si>
    <t>TX-4689 Seal Leakage</t>
  </si>
  <si>
    <t>MTO-2025-ARP-0192</t>
  </si>
  <si>
    <t>TX-7313</t>
  </si>
  <si>
    <t>2025-01-05</t>
  </si>
  <si>
    <t>TX-7313 Rotor High Vibration</t>
  </si>
  <si>
    <t>MTO-2025-ARP-0193</t>
  </si>
  <si>
    <t>PM-7974A</t>
  </si>
  <si>
    <t>2025-04-17</t>
  </si>
  <si>
    <t>PM-7974A Bearing Worn Out</t>
  </si>
  <si>
    <t>MTO-2026-ARP-0194</t>
  </si>
  <si>
    <t>PM-1440</t>
  </si>
  <si>
    <t>2026-06-20</t>
  </si>
  <si>
    <t>PM-1440 Coupling Loose</t>
  </si>
  <si>
    <t>MTO-2024-BRP-0195</t>
  </si>
  <si>
    <t>AR-2024-BRP-0223</t>
  </si>
  <si>
    <t>CV-5846</t>
  </si>
  <si>
    <t>2024-08-13</t>
  </si>
  <si>
    <t>CV-5846 Rotor High Vibration</t>
  </si>
  <si>
    <t>MTO-2024-CRP-0196</t>
  </si>
  <si>
    <t>AR-2024-CRP-0016</t>
  </si>
  <si>
    <t>CD-1513</t>
  </si>
  <si>
    <t>2024-10-26</t>
  </si>
  <si>
    <t>CD-1513 Blade Breakage</t>
  </si>
  <si>
    <t>MTO-2024-ARP-0197</t>
  </si>
  <si>
    <t>FN-2268</t>
  </si>
  <si>
    <t>2024-02-12</t>
  </si>
  <si>
    <t>FN-2268 Solenoid Malfunction</t>
  </si>
  <si>
    <t>MTO-2025-CRP-0198</t>
  </si>
  <si>
    <t>AR-2025-CRP-0058</t>
  </si>
  <si>
    <t>KO-4139B</t>
  </si>
  <si>
    <t>2025-04-30</t>
  </si>
  <si>
    <t>KO-4139B Transmitter Error</t>
  </si>
  <si>
    <t>MTO-2024-SMX-0199</t>
  </si>
  <si>
    <t>AR-2024-SMX-0120</t>
  </si>
  <si>
    <t>TX-6875</t>
  </si>
  <si>
    <t>2024-02-14</t>
  </si>
  <si>
    <t>TX-6875 Mechanical Seal Leak</t>
  </si>
  <si>
    <t>MTO-2024-ZCU-0200</t>
  </si>
  <si>
    <t>CD-8154</t>
  </si>
  <si>
    <t>2024-06-21</t>
  </si>
  <si>
    <t>CD-8154 Blade Breakage</t>
  </si>
  <si>
    <t>MTO-2024-OP3-0201</t>
  </si>
  <si>
    <t>RX-7012B</t>
  </si>
  <si>
    <t>2024-01-06</t>
  </si>
  <si>
    <t>RX-7012B Solenoid Malfunction</t>
  </si>
  <si>
    <t>2024-02-05</t>
  </si>
  <si>
    <t>MTO-2024-ARP-0202</t>
  </si>
  <si>
    <t>TX-6162B</t>
  </si>
  <si>
    <t>2024-08-06</t>
  </si>
  <si>
    <t>TX-6162B Exchanger Fouling</t>
  </si>
  <si>
    <t>MTO-2024-BDX-0203</t>
  </si>
  <si>
    <t>PU-7701C</t>
  </si>
  <si>
    <t>2024-09-06</t>
  </si>
  <si>
    <t>PU-7701C Coupling Loose</t>
  </si>
  <si>
    <t>MTO-2026-NUP-0204</t>
  </si>
  <si>
    <t>AR-2026-NUP-0071</t>
  </si>
  <si>
    <t>KO-4022B</t>
  </si>
  <si>
    <t>2026-04-23</t>
  </si>
  <si>
    <t>KO-4022B Motor Low Performance</t>
  </si>
  <si>
    <t>2026-05-23</t>
  </si>
  <si>
    <t>MTO-2025-ZCU-0205</t>
  </si>
  <si>
    <t>HE-5734C</t>
  </si>
  <si>
    <t>2025-01-03</t>
  </si>
  <si>
    <t>HE-5734C Seal Leakage</t>
  </si>
  <si>
    <t>2025-03-04</t>
  </si>
  <si>
    <t>MTO-2024-SMX-0206</t>
  </si>
  <si>
    <t>BL-7977</t>
  </si>
  <si>
    <t>2024-01-28</t>
  </si>
  <si>
    <t>BL-7977 Gearbox High Vibration</t>
  </si>
  <si>
    <t>MTO-2024-OP3-0207</t>
  </si>
  <si>
    <t>AR-2024-OP3-0182</t>
  </si>
  <si>
    <t>RX-1896A</t>
  </si>
  <si>
    <t>2024-12-10</t>
  </si>
  <si>
    <t>RX-1896A Coupling Worn Out</t>
  </si>
  <si>
    <t>MTO-2024-OP2-0208</t>
  </si>
  <si>
    <t>AR-2024-OP2-0122</t>
  </si>
  <si>
    <t>TR-1447A</t>
  </si>
  <si>
    <t>TR-1447A Gasket Leakage</t>
  </si>
  <si>
    <t>MTO-2025-OPP-0209</t>
  </si>
  <si>
    <t>TX-7941A</t>
  </si>
  <si>
    <t>TX-7941A Motor Low Performance</t>
  </si>
  <si>
    <t>MTO-2025-OP2-0210</t>
  </si>
  <si>
    <t>PM-2733C</t>
  </si>
  <si>
    <t>2025-08-24</t>
  </si>
  <si>
    <t>PM-2733C Control Valve Stuck</t>
  </si>
  <si>
    <t>MTO-2025-SMX-0211</t>
  </si>
  <si>
    <t>AR-2025-SMX-0136</t>
  </si>
  <si>
    <t>SW-3110</t>
  </si>
  <si>
    <t>2025-10-10</t>
  </si>
  <si>
    <t>SW-3110 Control Valve Stuck</t>
  </si>
  <si>
    <t>2025-11-24</t>
  </si>
  <si>
    <t>MTO-2024-BRP-0212</t>
  </si>
  <si>
    <t>TX-2151C</t>
  </si>
  <si>
    <t>2024-07-11</t>
  </si>
  <si>
    <t>TX-2151C Control Valve Stuck</t>
  </si>
  <si>
    <t>MTO-2025-SMX-0213</t>
  </si>
  <si>
    <t>KO-8443C</t>
  </si>
  <si>
    <t>KO-8443C Bearing Worn Out</t>
  </si>
  <si>
    <t>2025-06-09</t>
  </si>
  <si>
    <t>MTO-2026-OP3-0214</t>
  </si>
  <si>
    <t>CD-4129B</t>
  </si>
  <si>
    <t>2026-05-07</t>
  </si>
  <si>
    <t>CD-4129B Blade Breakage</t>
  </si>
  <si>
    <t>2026-06-21</t>
  </si>
  <si>
    <t>MTO-2025-ARP-0215</t>
  </si>
  <si>
    <t>AR-2025-ARP-0117</t>
  </si>
  <si>
    <t>TX-4180</t>
  </si>
  <si>
    <t>2025-10-15</t>
  </si>
  <si>
    <t>TX-4180 Shaft Crack</t>
  </si>
  <si>
    <t>MTO-2024-OPP-0216</t>
  </si>
  <si>
    <t>AR-2024-OPP-0080</t>
  </si>
  <si>
    <t>CD-7424A</t>
  </si>
  <si>
    <t>2024-07-28</t>
  </si>
  <si>
    <t>CD-7424A Blade Breakage</t>
  </si>
  <si>
    <t>MTO-2024-OP2-0217</t>
  </si>
  <si>
    <t>AR-2024-OP2-0240</t>
  </si>
  <si>
    <t>CD-4525B</t>
  </si>
  <si>
    <t>2024-04-30</t>
  </si>
  <si>
    <t>CD-4525B Blade Breakage</t>
  </si>
  <si>
    <t>MTO-2025-OP3-0218</t>
  </si>
  <si>
    <t>BL-7358</t>
  </si>
  <si>
    <t>2025-03-14</t>
  </si>
  <si>
    <t>BL-7358 Bearing Worn Out</t>
  </si>
  <si>
    <t>MTO-2024-ZCU-0219</t>
  </si>
  <si>
    <t>AR-2024-ZCU-0242</t>
  </si>
  <si>
    <t>PZ-1094</t>
  </si>
  <si>
    <t>PZ-1094 Bearing Worn Out</t>
  </si>
  <si>
    <t>MTO-2026-ZCU-0220</t>
  </si>
  <si>
    <t>PZ-4712</t>
  </si>
  <si>
    <t>2026-07-07</t>
  </si>
  <si>
    <t>PZ-4712 Exchanger Fouling</t>
  </si>
  <si>
    <t>MTO-2024-OPP-0221</t>
  </si>
  <si>
    <t>AR-2024-OPP-0040</t>
  </si>
  <si>
    <t>PM-3484B</t>
  </si>
  <si>
    <t>2024-10-04</t>
  </si>
  <si>
    <t>PM-3484B Seal Leakage</t>
  </si>
  <si>
    <t>2024-11-03</t>
  </si>
  <si>
    <t>MTO-2024-ARP-0222</t>
  </si>
  <si>
    <t>BL-4995</t>
  </si>
  <si>
    <t>BL-4995 Shaft Crack</t>
  </si>
  <si>
    <t>MTO-2025-OP3-0223</t>
  </si>
  <si>
    <t>PZ-4078B</t>
  </si>
  <si>
    <t>2025-10-17</t>
  </si>
  <si>
    <t>PZ-4078B Bearing Overheat</t>
  </si>
  <si>
    <t>MTO-2026-SMX-0224</t>
  </si>
  <si>
    <t>AR-2026-SMX-0092</t>
  </si>
  <si>
    <t>TR-5785</t>
  </si>
  <si>
    <t>2026-06-22</t>
  </si>
  <si>
    <t>TR-5785 Impeller Worn Out</t>
  </si>
  <si>
    <t>2026-08-06</t>
  </si>
  <si>
    <t>MTO-2025-OPP-0225</t>
  </si>
  <si>
    <t>SW-5472B</t>
  </si>
  <si>
    <t>2025-02-25</t>
  </si>
  <si>
    <t>SW-5472B Seal Leakage</t>
  </si>
  <si>
    <t>2025-04-11</t>
  </si>
  <si>
    <t>MTO-2024-SMX-0226</t>
  </si>
  <si>
    <t>RX-3213C</t>
  </si>
  <si>
    <t>RX-3213C Transmitter Error</t>
  </si>
  <si>
    <t>MTO-2026-OPP-0227</t>
  </si>
  <si>
    <t>TR-7081</t>
  </si>
  <si>
    <t>2026-04-06</t>
  </si>
  <si>
    <t>TR-7081 Impeller Worn Out</t>
  </si>
  <si>
    <t>MTO-2025-BRP-0228</t>
  </si>
  <si>
    <t>AR-2025-BRP-0122</t>
  </si>
  <si>
    <t>BL-4356</t>
  </si>
  <si>
    <t>2025-11-22</t>
  </si>
  <si>
    <t>BL-4356 Bearing High Vibration</t>
  </si>
  <si>
    <t>MTO-2024-BDX-0229</t>
  </si>
  <si>
    <t>KO-8623</t>
  </si>
  <si>
    <t>2024-06-16</t>
  </si>
  <si>
    <t>KO-8623 Control Valve Stuck</t>
  </si>
  <si>
    <t>2024-07-16</t>
  </si>
  <si>
    <t>MTO-2026-SMX-0230</t>
  </si>
  <si>
    <t>PM-3251</t>
  </si>
  <si>
    <t>2026-01-11</t>
  </si>
  <si>
    <t>PM-3251 Seal Leakage</t>
  </si>
  <si>
    <t>MTO-2024-BRP-0231</t>
  </si>
  <si>
    <t>PU-7906</t>
  </si>
  <si>
    <t>2024-08-24</t>
  </si>
  <si>
    <t>PU-7906 Coupling Loose</t>
  </si>
  <si>
    <t>2024-10-23</t>
  </si>
  <si>
    <t>MTO-2025-OP3-0232</t>
  </si>
  <si>
    <t>AR-2025-OP3-0136</t>
  </si>
  <si>
    <t>2025-03-07</t>
  </si>
  <si>
    <t>CV-5846 Solenoid Malfunction</t>
  </si>
  <si>
    <t>2025-04-21</t>
  </si>
  <si>
    <t>MTO-2025-OP3-0233</t>
  </si>
  <si>
    <t>AR-2025-OP3-0024</t>
  </si>
  <si>
    <t>KO-8837B</t>
  </si>
  <si>
    <t>2025-11-20</t>
  </si>
  <si>
    <t>KO-8837B Shaft Crack</t>
  </si>
  <si>
    <t>2025-12-20</t>
  </si>
  <si>
    <t>MTO-2025-SMX-0234</t>
  </si>
  <si>
    <t>AR-2025-SMX-0129</t>
  </si>
  <si>
    <t>CD-4479B</t>
  </si>
  <si>
    <t>2025-05-17</t>
  </si>
  <si>
    <t>CD-4479B Solenoid Malfunction</t>
  </si>
  <si>
    <t>2025-07-01</t>
  </si>
  <si>
    <t>MTO-2026-ZCU-0235</t>
  </si>
  <si>
    <t>CD-3123</t>
  </si>
  <si>
    <t>CD-3123 Seal Leakage</t>
  </si>
  <si>
    <t>MTO-2025-ARP-0236</t>
  </si>
  <si>
    <t>TX-3574C</t>
  </si>
  <si>
    <t>TX-3574C Solenoid Malfunction</t>
  </si>
  <si>
    <t>MTO-2024-ZCU-0237</t>
  </si>
  <si>
    <t>AR-2024-ZCU-0213</t>
  </si>
  <si>
    <t>TR-6290</t>
  </si>
  <si>
    <t>2024-06-25</t>
  </si>
  <si>
    <t>TR-6290 Motor Low Performance</t>
  </si>
  <si>
    <t>MTO-2025-ARP-0238</t>
  </si>
  <si>
    <t>AR-2025-ARP-0129</t>
  </si>
  <si>
    <t>TK-6178A</t>
  </si>
  <si>
    <t>2025-10-30</t>
  </si>
  <si>
    <t>TK-6178A Control Valve Leakage</t>
  </si>
  <si>
    <t>MTO-2024-ARP-0239</t>
  </si>
  <si>
    <t>AR-2024-ARP-0049</t>
  </si>
  <si>
    <t>SW-5535</t>
  </si>
  <si>
    <t>2024-05-29</t>
  </si>
  <si>
    <t>SW-5535 Blade Breakage</t>
  </si>
  <si>
    <t>MTO-2024-BRP-0240</t>
  </si>
  <si>
    <t>CD-6577B</t>
  </si>
  <si>
    <t>CD-6577B Seal Leakage</t>
  </si>
  <si>
    <t>MTO-2026-ZCU-0241</t>
  </si>
  <si>
    <t>AR-2026-ZCU-0133</t>
  </si>
  <si>
    <t>HE-3559B</t>
  </si>
  <si>
    <t>2026-03-13</t>
  </si>
  <si>
    <t>HE-3559B Impeller Worn Out</t>
  </si>
  <si>
    <t>2026-05-12</t>
  </si>
  <si>
    <t>MTO-2025-OP2-0242</t>
  </si>
  <si>
    <t>RX-3162</t>
  </si>
  <si>
    <t>2025-12-15</t>
  </si>
  <si>
    <t>RX-3162 Shaft Crack</t>
  </si>
  <si>
    <t>2026-01-14</t>
  </si>
  <si>
    <t>MTO-2025-SMX-0243</t>
  </si>
  <si>
    <t>PU-7148</t>
  </si>
  <si>
    <t>2025-12-23</t>
  </si>
  <si>
    <t>PU-7148 Exchanger Fouling</t>
  </si>
  <si>
    <t>MTO-2026-OP2-0244</t>
  </si>
  <si>
    <t>KO-1825</t>
  </si>
  <si>
    <t>2026-02-21</t>
  </si>
  <si>
    <t>KO-1825 Control Valve Leakage</t>
  </si>
  <si>
    <t>MTO-2024-SMX-0245</t>
  </si>
  <si>
    <t>AZ-2808</t>
  </si>
  <si>
    <t>2024-04-11</t>
  </si>
  <si>
    <t>AZ-2808 Control Valve Leakage</t>
  </si>
  <si>
    <t>MTO-2024-OP2-0246</t>
  </si>
  <si>
    <t>AR-2024-OP2-0164</t>
  </si>
  <si>
    <t>TX-1039B</t>
  </si>
  <si>
    <t>2024-09-16</t>
  </si>
  <si>
    <t>TX-1039B Coupling Loose</t>
  </si>
  <si>
    <t>2024-10-31</t>
  </si>
  <si>
    <t>MTO-2026-ZCU-0247</t>
  </si>
  <si>
    <t>RX-2949A</t>
  </si>
  <si>
    <t>2026-05-16</t>
  </si>
  <si>
    <t>RX-2949A Bearing Overheat</t>
  </si>
  <si>
    <t>2026-07-15</t>
  </si>
  <si>
    <t>MTO-2025-NUP-0248</t>
  </si>
  <si>
    <t>PM-7516C</t>
  </si>
  <si>
    <t>2025-02-06</t>
  </si>
  <si>
    <t>PM-7516C Coupling Loose</t>
  </si>
  <si>
    <t>MTO-2025-OPP-0249</t>
  </si>
  <si>
    <t>AR-2025-OPP-0032</t>
  </si>
  <si>
    <t>CD-5066A</t>
  </si>
  <si>
    <t>CD-5066A Seal Leakage</t>
  </si>
  <si>
    <t>MTO-2024-NUP-0250</t>
  </si>
  <si>
    <t>TX-7293</t>
  </si>
  <si>
    <t>2024-06-22</t>
  </si>
  <si>
    <t>TX-7293 Oil Seal Leakage</t>
  </si>
  <si>
    <t>MTO-2026-TKX-0251</t>
  </si>
  <si>
    <t>KO-3418A</t>
  </si>
  <si>
    <t>KO-3418A Blade Breakage</t>
  </si>
  <si>
    <t>MTO-2025-CRP-0252</t>
  </si>
  <si>
    <t>HE-2011</t>
  </si>
  <si>
    <t>HE-2011 Coupling Loose</t>
  </si>
  <si>
    <t>2025-06-12</t>
  </si>
  <si>
    <t>MTO-2026-NUP-0253</t>
  </si>
  <si>
    <t>AR-2026-NUP-0080</t>
  </si>
  <si>
    <t>RX-5939B</t>
  </si>
  <si>
    <t>2026-02-03</t>
  </si>
  <si>
    <t>RX-5939B Impeller Worn Out</t>
  </si>
  <si>
    <t>MTO-2025-ARP-0254</t>
  </si>
  <si>
    <t>FN-8551C</t>
  </si>
  <si>
    <t>FN-8551C Shaft Crack</t>
  </si>
  <si>
    <t>MTO-2025-TKX-0255</t>
  </si>
  <si>
    <t>PU-2304A</t>
  </si>
  <si>
    <t>PU-2304A Bearing High Vibration</t>
  </si>
  <si>
    <t>MTO-2025-ARP-0256</t>
  </si>
  <si>
    <t>AR-2025-ARP-0130</t>
  </si>
  <si>
    <t>TR-8066</t>
  </si>
  <si>
    <t>2025-07-15</t>
  </si>
  <si>
    <t>TR-8066 Solenoid Malfunction</t>
  </si>
  <si>
    <t>MTO-2024-ARP-0257</t>
  </si>
  <si>
    <t>RX-1575</t>
  </si>
  <si>
    <t>RX-1575 Transmitter Error</t>
  </si>
  <si>
    <t>MTO-2024-NUP-0258</t>
  </si>
  <si>
    <t>HE-1535</t>
  </si>
  <si>
    <t>2024-12-06</t>
  </si>
  <si>
    <t>HE-1535 Shaft Crack</t>
  </si>
  <si>
    <t>MTO-2026-OPP-0259</t>
  </si>
  <si>
    <t>PM-2842A</t>
  </si>
  <si>
    <t>2026-04-20</t>
  </si>
  <si>
    <t>PM-2842A Gearbox High Vibration</t>
  </si>
  <si>
    <t>MTO-2026-TKX-0260</t>
  </si>
  <si>
    <t>PM-7677</t>
  </si>
  <si>
    <t>PM-7677 Seal Leakage</t>
  </si>
  <si>
    <t>MTO-2024-CRP-0261</t>
  </si>
  <si>
    <t>AR-2024-CRP-0231</t>
  </si>
  <si>
    <t>PM-6340A</t>
  </si>
  <si>
    <t>PM-6340A Shaft Crack</t>
  </si>
  <si>
    <t>MTO-2025-BDX-0262</t>
  </si>
  <si>
    <t>RX-8147A</t>
  </si>
  <si>
    <t>2025-07-02</t>
  </si>
  <si>
    <t>RX-8147A Transmitter Error</t>
  </si>
  <si>
    <t>MTO-2024-OP3-0263</t>
  </si>
  <si>
    <t>AR-2024-OP3-0129</t>
  </si>
  <si>
    <t>AZ-8666</t>
  </si>
  <si>
    <t>2024-02-06</t>
  </si>
  <si>
    <t>AZ-8666 Shaft Crack</t>
  </si>
  <si>
    <t>MTO-2025-BRP-0264</t>
  </si>
  <si>
    <t>TX-1531</t>
  </si>
  <si>
    <t>2025-01-07</t>
  </si>
  <si>
    <t>TX-1531 Gasket Leakage</t>
  </si>
  <si>
    <t>2025-02-21</t>
  </si>
  <si>
    <t>MTO-2025-OP3-0265</t>
  </si>
  <si>
    <t>TR-3550</t>
  </si>
  <si>
    <t>2025-06-13</t>
  </si>
  <si>
    <t>TR-3550 Bearing High Vibration</t>
  </si>
  <si>
    <t>2025-07-13</t>
  </si>
  <si>
    <t>MTO-2026-ZCU-0266</t>
  </si>
  <si>
    <t>PZ-2759</t>
  </si>
  <si>
    <t>2026-01-06</t>
  </si>
  <si>
    <t>PZ-2759 Seal Leakage</t>
  </si>
  <si>
    <t>MTO-2024-OP2-0267</t>
  </si>
  <si>
    <t>AR-2024-OP2-0209</t>
  </si>
  <si>
    <t>CD-7937A</t>
  </si>
  <si>
    <t>2024-08-10</t>
  </si>
  <si>
    <t>CD-7937A Gearbox High Vibration</t>
  </si>
  <si>
    <t>MTO-2026-NUP-0268</t>
  </si>
  <si>
    <t>AR-2026-NUP-0239</t>
  </si>
  <si>
    <t>BL-3946C</t>
  </si>
  <si>
    <t>BL-3946C Oil Seal Leakage</t>
  </si>
  <si>
    <t>2026-08-02</t>
  </si>
  <si>
    <t>MTO-2025-ARP-0269</t>
  </si>
  <si>
    <t>AR-2025-ARP-0048</t>
  </si>
  <si>
    <t>SW-6175C</t>
  </si>
  <si>
    <t>2025-06-03</t>
  </si>
  <si>
    <t>SW-6175C Bearing High Vibration</t>
  </si>
  <si>
    <t>MTO-2025-SMX-0270</t>
  </si>
  <si>
    <t>PM-1316B</t>
  </si>
  <si>
    <t>PM-1316B Motor Low Performance</t>
  </si>
  <si>
    <t>MTO-2026-NUP-0271</t>
  </si>
  <si>
    <t>AR-2026-NUP-0161</t>
  </si>
  <si>
    <t>CV-3290</t>
  </si>
  <si>
    <t>2026-03-02</t>
  </si>
  <si>
    <t>CV-3290 Coupling Loose</t>
  </si>
  <si>
    <t>2026-04-01</t>
  </si>
  <si>
    <t>MTO-2024-ZCU-0272</t>
  </si>
  <si>
    <t>PZ-7507</t>
  </si>
  <si>
    <t>PZ-7507 Blade Breakage</t>
  </si>
  <si>
    <t>MTO-2026-OPP-0273</t>
  </si>
  <si>
    <t>TX-1468</t>
  </si>
  <si>
    <t>TX-1468 Gasket Leakage</t>
  </si>
  <si>
    <t>MTO-2024-BRP-0274</t>
  </si>
  <si>
    <t>PZ-6564</t>
  </si>
  <si>
    <t>2024-07-05</t>
  </si>
  <si>
    <t>PZ-6564 Coupling Loose</t>
  </si>
  <si>
    <t>MTO-2024-OP2-0275</t>
  </si>
  <si>
    <t>AR-2024-OP2-0090</t>
  </si>
  <si>
    <t>AZ-3288</t>
  </si>
  <si>
    <t>AZ-3288 Bearing High Vibration</t>
  </si>
  <si>
    <t>MTO-2024-BRP-0276</t>
  </si>
  <si>
    <t>AR-2024-BRP-0227</t>
  </si>
  <si>
    <t>CD-2449C</t>
  </si>
  <si>
    <t>CD-2449C Coupling Loose</t>
  </si>
  <si>
    <t>MTO-2024-ZCU-0277</t>
  </si>
  <si>
    <t>AR-2024-ZCU-0059</t>
  </si>
  <si>
    <t>TK-1215</t>
  </si>
  <si>
    <t>2024-12-23</t>
  </si>
  <si>
    <t>TK-1215 Oil Seal Leakage</t>
  </si>
  <si>
    <t>MTO-2024-ZCU-0278</t>
  </si>
  <si>
    <t>CD-6611</t>
  </si>
  <si>
    <t>2024-08-11</t>
  </si>
  <si>
    <t>CD-6611 Seal Leakage</t>
  </si>
  <si>
    <t>2024-09-25</t>
  </si>
  <si>
    <t>MTO-2024-OP2-0279</t>
  </si>
  <si>
    <t>TR-3408C</t>
  </si>
  <si>
    <t>2024-12-17</t>
  </si>
  <si>
    <t>TR-3408C Oil Seal Leakage</t>
  </si>
  <si>
    <t>2025-01-31</t>
  </si>
  <si>
    <t>MTO-2026-ZCU-0280</t>
  </si>
  <si>
    <t>SW-8737A</t>
  </si>
  <si>
    <t>2026-05-31</t>
  </si>
  <si>
    <t>SW-8737A Bearing High Vibration</t>
  </si>
  <si>
    <t>MTO-2025-SMX-0281</t>
  </si>
  <si>
    <t>AR-2025-SMX-0022</t>
  </si>
  <si>
    <t>TX-3699</t>
  </si>
  <si>
    <t>2025-01-23</t>
  </si>
  <si>
    <t>TX-3699 Exchanger Fouling</t>
  </si>
  <si>
    <t>2025-03-24</t>
  </si>
  <si>
    <t>MTO-2024-OP3-0282</t>
  </si>
  <si>
    <t>TX-6148B</t>
  </si>
  <si>
    <t>TX-6148B Bearing Worn Out</t>
  </si>
  <si>
    <t>MTO-2025-ZCU-0283</t>
  </si>
  <si>
    <t>AR-2025-ZCU-0035</t>
  </si>
  <si>
    <t>BL-2513A</t>
  </si>
  <si>
    <t>2025-02-11</t>
  </si>
  <si>
    <t>BL-2513A Impeller Worn Out</t>
  </si>
  <si>
    <t>MTO-2026-SMX-0284</t>
  </si>
  <si>
    <t>AZ-1128C</t>
  </si>
  <si>
    <t>2026-03-06</t>
  </si>
  <si>
    <t>AZ-1128C Motor Low Performance</t>
  </si>
  <si>
    <t>MTO-2024-ARP-0285</t>
  </si>
  <si>
    <t>AR-2024-ARP-0131</t>
  </si>
  <si>
    <t>TX-2223</t>
  </si>
  <si>
    <t>2024-05-26</t>
  </si>
  <si>
    <t>TX-2223 Bearing Worn Out</t>
  </si>
  <si>
    <t>MTO-2026-OPP-0286</t>
  </si>
  <si>
    <t>AR-2026-OPP-0209</t>
  </si>
  <si>
    <t>HE-4966C</t>
  </si>
  <si>
    <t>2026-07-06</t>
  </si>
  <si>
    <t>HE-4966C Exchanger Fouling</t>
  </si>
  <si>
    <t>MTO-2025-OP2-0287</t>
  </si>
  <si>
    <t>TX-4451</t>
  </si>
  <si>
    <t>2025-08-10</t>
  </si>
  <si>
    <t>TX-4451 Oil Seal Leakage</t>
  </si>
  <si>
    <t>MTO-2024-ZCU-0288</t>
  </si>
  <si>
    <t>CD-7117C</t>
  </si>
  <si>
    <t>CD-7117C Control Valve Leakage</t>
  </si>
  <si>
    <t>MTO-2024-OPP-0289</t>
  </si>
  <si>
    <t>PU-5056C</t>
  </si>
  <si>
    <t>2024-02-10</t>
  </si>
  <si>
    <t>PU-5056C Gasket Leakage</t>
  </si>
  <si>
    <t>2024-03-11</t>
  </si>
  <si>
    <t>MTO-2025-CRP-0290</t>
  </si>
  <si>
    <t>AR-2025-CRP-0047</t>
  </si>
  <si>
    <t>PM-6780</t>
  </si>
  <si>
    <t>PM-6780 Gasket Leakage</t>
  </si>
  <si>
    <t>MTO-2024-NUP-0291</t>
  </si>
  <si>
    <t>HE-2598B</t>
  </si>
  <si>
    <t>2024-05-19</t>
  </si>
  <si>
    <t>HE-2598B Mechanical Seal Leak</t>
  </si>
  <si>
    <t>2024-06-18</t>
  </si>
  <si>
    <t>MTO-2025-OPU-0292</t>
  </si>
  <si>
    <t>AR-2025-OPU-0249</t>
  </si>
  <si>
    <t>PU-4574B</t>
  </si>
  <si>
    <t>2025-12-11</t>
  </si>
  <si>
    <t>PU-4574B Mechanical Seal Leak</t>
  </si>
  <si>
    <t>MTO-2025-ARP-0293</t>
  </si>
  <si>
    <t>KO-7770A</t>
  </si>
  <si>
    <t>KO-7770A Seal Leakage</t>
  </si>
  <si>
    <t>2025-02-23</t>
  </si>
  <si>
    <t>MTO-2024-ARP-0294</t>
  </si>
  <si>
    <t>BL-4453C</t>
  </si>
  <si>
    <t>2024-10-07</t>
  </si>
  <si>
    <t>BL-4453C Impeller Worn Out</t>
  </si>
  <si>
    <t>MTO-2024-ZCU-0295</t>
  </si>
  <si>
    <t>BL-8124A</t>
  </si>
  <si>
    <t>BL-8124A Exchanger Fouling</t>
  </si>
  <si>
    <t>2024-05-13</t>
  </si>
  <si>
    <t>MTO-2025-OPP-0296</t>
  </si>
  <si>
    <t>KO-5432C</t>
  </si>
  <si>
    <t>2025-09-14</t>
  </si>
  <si>
    <t>KO-5432C Transmitter Error</t>
  </si>
  <si>
    <t>MTO-2025-SMX-0297</t>
  </si>
  <si>
    <t>AR-2025-SMX-0164</t>
  </si>
  <si>
    <t>TX-5187B</t>
  </si>
  <si>
    <t>TX-5187B Shaft Crack</t>
  </si>
  <si>
    <t>MTO-2024-ARP-0298</t>
  </si>
  <si>
    <t>TK-1061C</t>
  </si>
  <si>
    <t>2024-03-16</t>
  </si>
  <si>
    <t>TK-1061C Exchanger Fouling</t>
  </si>
  <si>
    <t>MTO-2026-SMX-0299</t>
  </si>
  <si>
    <t>AR-2026-SMX-0082</t>
  </si>
  <si>
    <t>KO-2904</t>
  </si>
  <si>
    <t>2026-05-18</t>
  </si>
  <si>
    <t>KO-2904 Coupling Worn Out</t>
  </si>
  <si>
    <t>MTO-2025-ZCU-0300</t>
  </si>
  <si>
    <t>TX-6415B</t>
  </si>
  <si>
    <t>TX-6415B Gearbox High Vibration</t>
  </si>
  <si>
    <t>MTO-2025-SMX-0301</t>
  </si>
  <si>
    <t>AR-2025-SMX-0229</t>
  </si>
  <si>
    <t>AZ-4525A</t>
  </si>
  <si>
    <t>AZ-4525A Gasket Leakage</t>
  </si>
  <si>
    <t>2025-10-29</t>
  </si>
  <si>
    <t>MTO-2025-ZCU-0302</t>
  </si>
  <si>
    <t>KO-4538B</t>
  </si>
  <si>
    <t>2025-09-27</t>
  </si>
  <si>
    <t>KO-4538B Seal Leakage</t>
  </si>
  <si>
    <t>MTO-2025-CRP-0303</t>
  </si>
  <si>
    <t>TX-3146</t>
  </si>
  <si>
    <t>2025-12-21</t>
  </si>
  <si>
    <t>TX-3146 Gasket Leakage</t>
  </si>
  <si>
    <t>MTO-2025-ARP-0304</t>
  </si>
  <si>
    <t>BL-7719</t>
  </si>
  <si>
    <t>BL-7719 Rotor High Vibration</t>
  </si>
  <si>
    <t>2025-11-15</t>
  </si>
  <si>
    <t>MTO-2024-OP2-0305</t>
  </si>
  <si>
    <t>CV-6240</t>
  </si>
  <si>
    <t>CV-6240 Solenoid Malfunction</t>
  </si>
  <si>
    <t>MTO-2026-SMX-0306</t>
  </si>
  <si>
    <t>AR-2026-SMX-0113</t>
  </si>
  <si>
    <t>CD-6973</t>
  </si>
  <si>
    <t>CD-6973 Coupling Loose</t>
  </si>
  <si>
    <t>MTO-2025-BRP-0307</t>
  </si>
  <si>
    <t>PZ-6982A</t>
  </si>
  <si>
    <t>2025-01-26</t>
  </si>
  <si>
    <t>PZ-6982A Bearing High Vibration</t>
  </si>
  <si>
    <t>MTO-2026-SMX-0308</t>
  </si>
  <si>
    <t>SW-5057</t>
  </si>
  <si>
    <t>2026-04-16</t>
  </si>
  <si>
    <t>SW-5057 Bearing Overheat</t>
  </si>
  <si>
    <t>MTO-2025-ZCU-0309</t>
  </si>
  <si>
    <t>AR-2025-ZCU-0152</t>
  </si>
  <si>
    <t>PM-4339B</t>
  </si>
  <si>
    <t>PM-4339B Coupling Worn Out</t>
  </si>
  <si>
    <t>MTO-2024-ZCU-0310</t>
  </si>
  <si>
    <t>TX-6419A</t>
  </si>
  <si>
    <t>2024-08-08</t>
  </si>
  <si>
    <t>TX-6419A Control Valve Leakage</t>
  </si>
  <si>
    <t>2024-09-22</t>
  </si>
  <si>
    <t>MTO-2025-ARP-0311</t>
  </si>
  <si>
    <t>CV-2117A</t>
  </si>
  <si>
    <t>2025-10-04</t>
  </si>
  <si>
    <t>CV-2117A Rotor High Vibration</t>
  </si>
  <si>
    <t>2025-11-18</t>
  </si>
  <si>
    <t>MTO-2025-ZCU-0312</t>
  </si>
  <si>
    <t>FN-5984</t>
  </si>
  <si>
    <t>2025-08-04</t>
  </si>
  <si>
    <t>FN-5984 Exchanger Fouling</t>
  </si>
  <si>
    <t>MTO-2024-CRP-0313</t>
  </si>
  <si>
    <t>CD-4841</t>
  </si>
  <si>
    <t>2024-05-08</t>
  </si>
  <si>
    <t>CD-4841 Mechanical Seal Leak</t>
  </si>
  <si>
    <t>2024-06-07</t>
  </si>
  <si>
    <t>MTO-2024-OP3-0314</t>
  </si>
  <si>
    <t>TX-2023C</t>
  </si>
  <si>
    <t>2024-11-09</t>
  </si>
  <si>
    <t>TX-2023C Impeller Worn Out</t>
  </si>
  <si>
    <t>2024-12-09</t>
  </si>
  <si>
    <t>MTO-2025-BRP-0315</t>
  </si>
  <si>
    <t>PZ-5007</t>
  </si>
  <si>
    <t>PZ-5007 Seal Leakage</t>
  </si>
  <si>
    <t>2025-06-21</t>
  </si>
  <si>
    <t>MTO-2024-ARP-0316</t>
  </si>
  <si>
    <t>AZ-4021</t>
  </si>
  <si>
    <t>AZ-4021 Bearing Worn Out</t>
  </si>
  <si>
    <t>MTO-2025-OPP-0317</t>
  </si>
  <si>
    <t>RX-2530</t>
  </si>
  <si>
    <t>RX-2530 Blade Breakage</t>
  </si>
  <si>
    <t>MTO-2025-ZCU-0318</t>
  </si>
  <si>
    <t>SW-8132A</t>
  </si>
  <si>
    <t>2025-12-26</t>
  </si>
  <si>
    <t>SW-8132A Shaft Crack</t>
  </si>
  <si>
    <t>MTO-2024-OP3-0319</t>
  </si>
  <si>
    <t>HE-7991</t>
  </si>
  <si>
    <t>HE-7991 Control Valve Stuck</t>
  </si>
  <si>
    <t>2025-02-10</t>
  </si>
  <si>
    <t>MTO-2025-OP2-0320</t>
  </si>
  <si>
    <t>AZ-6357</t>
  </si>
  <si>
    <t>AZ-6357 Motor Low Performance</t>
  </si>
  <si>
    <t>MTO-2024-OPP-0321</t>
  </si>
  <si>
    <t>TX-3092C</t>
  </si>
  <si>
    <t>TX-3092C Rotor High Vibration</t>
  </si>
  <si>
    <t>MTO-2025-OP2-0322</t>
  </si>
  <si>
    <t>PU-6149</t>
  </si>
  <si>
    <t>2025-06-06</t>
  </si>
  <si>
    <t>PU-6149 Control Valve Leakage</t>
  </si>
  <si>
    <t>2025-08-05</t>
  </si>
  <si>
    <t>MTO-2024-ARP-0323</t>
  </si>
  <si>
    <t>AR-2024-ARP-0089</t>
  </si>
  <si>
    <t>PZ-2579B</t>
  </si>
  <si>
    <t>PZ-2579B Rotor High Vibration</t>
  </si>
  <si>
    <t>MTO-2025-CRP-0324</t>
  </si>
  <si>
    <t>PM-7696</t>
  </si>
  <si>
    <t>PM-7696 Mechanical Seal Leak</t>
  </si>
  <si>
    <t>MTO-2024-OPP-0325</t>
  </si>
  <si>
    <t>PM-3134C</t>
  </si>
  <si>
    <t>PM-3134C Seal Leakage</t>
  </si>
  <si>
    <t>2024-12-20</t>
  </si>
  <si>
    <t>MTO-2025-NUP-0326</t>
  </si>
  <si>
    <t>AR-2025-NUP-0091</t>
  </si>
  <si>
    <t>PM-4861B</t>
  </si>
  <si>
    <t>2025-10-18</t>
  </si>
  <si>
    <t>PM-4861B Seal Leakage</t>
  </si>
  <si>
    <t>2025-11-17</t>
  </si>
  <si>
    <t>MTO-2025-ZCU-0327</t>
  </si>
  <si>
    <t>AR-2025-ZCU-0183</t>
  </si>
  <si>
    <t>CD-5263B</t>
  </si>
  <si>
    <t>CD-5263B Control Valve Leakage</t>
  </si>
  <si>
    <t>MTO-2025-ZCU-0328</t>
  </si>
  <si>
    <t>AR-2025-ZCU-0077</t>
  </si>
  <si>
    <t>AZ-2053C</t>
  </si>
  <si>
    <t>2025-12-28</t>
  </si>
  <si>
    <t>AZ-2053C Oil Seal Leakage</t>
  </si>
  <si>
    <t>MTO-2026-OP3-0329</t>
  </si>
  <si>
    <t>AR-2026-OP3-0163</t>
  </si>
  <si>
    <t>KO-6941B</t>
  </si>
  <si>
    <t>KO-6941B Solenoid Malfunction</t>
  </si>
  <si>
    <t>MTO-2025-OPU-0330</t>
  </si>
  <si>
    <t>FN-8723B</t>
  </si>
  <si>
    <t>2025-08-21</t>
  </si>
  <si>
    <t>FN-8723B Gearbox High Vibration</t>
  </si>
  <si>
    <t>2025-10-20</t>
  </si>
  <si>
    <t>MTO-2026-OP2-0331</t>
  </si>
  <si>
    <t>HE-4689A</t>
  </si>
  <si>
    <t>HE-4689A Oil Seal Leakage</t>
  </si>
  <si>
    <t>MTO-2024-CRP-0332</t>
  </si>
  <si>
    <t>AR-2024-CRP-0193</t>
  </si>
  <si>
    <t>KO-7907</t>
  </si>
  <si>
    <t>2024-04-20</t>
  </si>
  <si>
    <t>KO-7907 Oil Seal Leakage</t>
  </si>
  <si>
    <t>2024-06-19</t>
  </si>
  <si>
    <t>MTO-2024-OPP-0333</t>
  </si>
  <si>
    <t>TR-4857B</t>
  </si>
  <si>
    <t>2024-11-05</t>
  </si>
  <si>
    <t>TR-4857B Transmitter Error</t>
  </si>
  <si>
    <t>MTO-2025-OP2-0334</t>
  </si>
  <si>
    <t>AR-2025-OP2-0209</t>
  </si>
  <si>
    <t>HE-5877C</t>
  </si>
  <si>
    <t>2025-12-22</t>
  </si>
  <si>
    <t>HE-5877C Motor Low Performance</t>
  </si>
  <si>
    <t>MTO-2026-ZCU-0335</t>
  </si>
  <si>
    <t>AR-2026-ZCU-0095</t>
  </si>
  <si>
    <t>TK-2175C</t>
  </si>
  <si>
    <t>2026-07-16</t>
  </si>
  <si>
    <t>TK-2175C Coupling Worn Out</t>
  </si>
  <si>
    <t>2026-08-30</t>
  </si>
  <si>
    <t>MTO-2025-NUP-0336</t>
  </si>
  <si>
    <t>SW-5367</t>
  </si>
  <si>
    <t>SW-5367 Oil Seal Leakage</t>
  </si>
  <si>
    <t>MTO-2026-OP2-0337</t>
  </si>
  <si>
    <t>AR-2026-OP2-0174</t>
  </si>
  <si>
    <t>KO-6690C</t>
  </si>
  <si>
    <t>2026-05-20</t>
  </si>
  <si>
    <t>KO-6690C Coupling Loose</t>
  </si>
  <si>
    <t>2026-07-04</t>
  </si>
  <si>
    <t>MTO-2026-OP3-0338</t>
  </si>
  <si>
    <t>AR-2026-OP3-0237</t>
  </si>
  <si>
    <t>PM-1108B</t>
  </si>
  <si>
    <t>2026-01-29</t>
  </si>
  <si>
    <t>PM-1108B Gasket Leakage</t>
  </si>
  <si>
    <t>2026-03-15</t>
  </si>
  <si>
    <t>MTO-2024-OP3-0339</t>
  </si>
  <si>
    <t>AR-2024-OP3-0219</t>
  </si>
  <si>
    <t>SW-2768C</t>
  </si>
  <si>
    <t>2024-07-03</t>
  </si>
  <si>
    <t>SW-2768C Oil Seal Leakage</t>
  </si>
  <si>
    <t>MTO-2024-OPU-0340</t>
  </si>
  <si>
    <t>TK-7349</t>
  </si>
  <si>
    <t>TK-7349 Seal Leakage</t>
  </si>
  <si>
    <t>2024-06-24</t>
  </si>
  <si>
    <t>MTO-2024-ARP-0341</t>
  </si>
  <si>
    <t>AZ-6778A</t>
  </si>
  <si>
    <t>2024-10-03</t>
  </si>
  <si>
    <t>AZ-6778A Solenoid Malfunction</t>
  </si>
  <si>
    <t>MTO-2025-ARP-0342</t>
  </si>
  <si>
    <t>BL-6590</t>
  </si>
  <si>
    <t>BL-6590 Solenoid Malfunction</t>
  </si>
  <si>
    <t>MTO-2025-ARP-0343</t>
  </si>
  <si>
    <t>AR-2025-ARP-0199</t>
  </si>
  <si>
    <t>FN-8488C</t>
  </si>
  <si>
    <t>FN-8488C Bearing Overheat</t>
  </si>
  <si>
    <t>2025-04-25</t>
  </si>
  <si>
    <t>MTO-2026-NUP-0344</t>
  </si>
  <si>
    <t>PU-4158C</t>
  </si>
  <si>
    <t>PU-4158C Transmitter Error</t>
  </si>
  <si>
    <t>MTO-2024-CRP-0345</t>
  </si>
  <si>
    <t>TX-1131</t>
  </si>
  <si>
    <t>TX-1131 Oil Seal Leakage</t>
  </si>
  <si>
    <t>MTO-2026-SMX-0346</t>
  </si>
  <si>
    <t>AR-2026-SMX-0087</t>
  </si>
  <si>
    <t>PU-8439A</t>
  </si>
  <si>
    <t>2026-03-21</t>
  </si>
  <si>
    <t>PU-8439A Coupling Worn Out</t>
  </si>
  <si>
    <t>2026-05-05</t>
  </si>
  <si>
    <t>MTO-2024-BRP-0347</t>
  </si>
  <si>
    <t>CD-5189C</t>
  </si>
  <si>
    <t>2024-12-15</t>
  </si>
  <si>
    <t>CD-5189C Control Valve Stuck</t>
  </si>
  <si>
    <t>MTO-2024-CRP-0348</t>
  </si>
  <si>
    <t>KO-1744</t>
  </si>
  <si>
    <t>2024-08-03</t>
  </si>
  <si>
    <t>KO-1744 Mechanical Seal Leak</t>
  </si>
  <si>
    <t>MTO-2026-CRP-0349</t>
  </si>
  <si>
    <t>TR-6629</t>
  </si>
  <si>
    <t>2026-05-01</t>
  </si>
  <si>
    <t>TR-6629 Control Valve Leakage</t>
  </si>
  <si>
    <t>MTO-2026-SMX-0350</t>
  </si>
  <si>
    <t>AR-2026-SMX-0033</t>
  </si>
  <si>
    <t>TX-4166C</t>
  </si>
  <si>
    <t>2026-04-08</t>
  </si>
  <si>
    <t>TX-4166C Shaft Crack</t>
  </si>
  <si>
    <t>MTO-2024-ZCU-0351</t>
  </si>
  <si>
    <t>PM-2050</t>
  </si>
  <si>
    <t>PM-2050 Impeller Worn Out</t>
  </si>
  <si>
    <t>I</t>
  </si>
  <si>
    <t>MTO-2026-BRP-0352</t>
  </si>
  <si>
    <t>AR-2026-BRP-0164</t>
  </si>
  <si>
    <t>FN-6098A</t>
  </si>
  <si>
    <t>FN-6098A Impeller Worn Out</t>
  </si>
  <si>
    <t>2026-04-22</t>
  </si>
  <si>
    <t>MTO-2024-BDX-0353</t>
  </si>
  <si>
    <t>AR-2024-BDX-0061</t>
  </si>
  <si>
    <t>KO-7855B</t>
  </si>
  <si>
    <t>KO-7855B Coupling Worn Out</t>
  </si>
  <si>
    <t>MTO-2026-OPP-0354</t>
  </si>
  <si>
    <t>HE-2751B</t>
  </si>
  <si>
    <t>HE-2751B Gasket Leakage</t>
  </si>
  <si>
    <t>2026-05-26</t>
  </si>
  <si>
    <t>MTO-2024-CRP-0355</t>
  </si>
  <si>
    <t>AR-2024-CRP-0072</t>
  </si>
  <si>
    <t>KO-8358</t>
  </si>
  <si>
    <t>2024-10-10</t>
  </si>
  <si>
    <t>KO-8358 Rotor High Vibration</t>
  </si>
  <si>
    <t>MTO-2025-OP2-0356</t>
  </si>
  <si>
    <t>AR-2025-OP2-0140</t>
  </si>
  <si>
    <t>PM-5293C</t>
  </si>
  <si>
    <t>2025-05-24</t>
  </si>
  <si>
    <t>PM-5293C Bearing High Vibration</t>
  </si>
  <si>
    <t>MTO-2025-ARP-0357</t>
  </si>
  <si>
    <t>TR-2385</t>
  </si>
  <si>
    <t>2025-04-19</t>
  </si>
  <si>
    <t>TR-2385 Bearing High Vibration</t>
  </si>
  <si>
    <t>MTO-2026-ARP-0358</t>
  </si>
  <si>
    <t>AR-2026-ARP-0149</t>
  </si>
  <si>
    <t>AZ-1222A</t>
  </si>
  <si>
    <t>AZ-1222A Rotor High Vibration</t>
  </si>
  <si>
    <t>2026-08-20</t>
  </si>
  <si>
    <t>MTO-2026-SMX-0359</t>
  </si>
  <si>
    <t>AR-2026-SMX-0031</t>
  </si>
  <si>
    <t>SW-8148</t>
  </si>
  <si>
    <t>SW-8148 Solenoid Malfunction</t>
  </si>
  <si>
    <t>MTO-2025-SMX-0360</t>
  </si>
  <si>
    <t>FN-5734</t>
  </si>
  <si>
    <t>FN-5734 Solenoid Malfunction</t>
  </si>
  <si>
    <t>MTO-2025-OPU-0361</t>
  </si>
  <si>
    <t>AR-2025-OPU-0126</t>
  </si>
  <si>
    <t>SW-2477</t>
  </si>
  <si>
    <t>SW-2477 Transmitter Error</t>
  </si>
  <si>
    <t>MTO-2025-NUP-0362</t>
  </si>
  <si>
    <t>AR-2025-NUP-0190</t>
  </si>
  <si>
    <t>FN-1399</t>
  </si>
  <si>
    <t>2025-09-15</t>
  </si>
  <si>
    <t>FN-1399 Control Valve Stuck</t>
  </si>
  <si>
    <t>MTO-2025-OP3-0363</t>
  </si>
  <si>
    <t>AR-2025-OP3-0123</t>
  </si>
  <si>
    <t>TR-7614</t>
  </si>
  <si>
    <t>2025-05-28</t>
  </si>
  <si>
    <t>TR-7614 Gearbox High Vibration</t>
  </si>
  <si>
    <t>MTO-2025-OPU-0364</t>
  </si>
  <si>
    <t>TK-4573B</t>
  </si>
  <si>
    <t>TK-4573B Control Valve Leakage</t>
  </si>
  <si>
    <t>2025-09-30</t>
  </si>
  <si>
    <t>MTO-2025-OPU-0365</t>
  </si>
  <si>
    <t>TX-3711B</t>
  </si>
  <si>
    <t>2025-04-04</t>
  </si>
  <si>
    <t>TX-3711B Bearing Worn Out</t>
  </si>
  <si>
    <t>MTO-2025-OPP-0366</t>
  </si>
  <si>
    <t>TK-2587</t>
  </si>
  <si>
    <t>2025-09-03</t>
  </si>
  <si>
    <t>TK-2587 Coupling Loose</t>
  </si>
  <si>
    <t>MTO-2026-BRP-0367</t>
  </si>
  <si>
    <t>AR-2026-BRP-0145</t>
  </si>
  <si>
    <t>BL-8480</t>
  </si>
  <si>
    <t>2026-05-10</t>
  </si>
  <si>
    <t>BL-8480 Blade Breakage</t>
  </si>
  <si>
    <t>MTO-2026-OP3-0368</t>
  </si>
  <si>
    <t>AR-2026-OP3-0224</t>
  </si>
  <si>
    <t>CV-4393A</t>
  </si>
  <si>
    <t>2026-03-05</t>
  </si>
  <si>
    <t>CV-4393A Coupling Worn Out</t>
  </si>
  <si>
    <t>MTO-2024-OPU-0369</t>
  </si>
  <si>
    <t>TR-3824B</t>
  </si>
  <si>
    <t>TR-3824B Bearing Overheat</t>
  </si>
  <si>
    <t>MTO-2024-BDX-0370</t>
  </si>
  <si>
    <t>AR-2024-BDX-0096</t>
  </si>
  <si>
    <t>PZ-8290A</t>
  </si>
  <si>
    <t>PZ-8290A Motor Low Performance</t>
  </si>
  <si>
    <t>MTO-2025-ARP-0371</t>
  </si>
  <si>
    <t>PM-8227B</t>
  </si>
  <si>
    <t>PM-8227B Mechanical Seal Leak</t>
  </si>
  <si>
    <t>MTO-2026-ZCU-0372</t>
  </si>
  <si>
    <t>AR-2026-ZCU-0170</t>
  </si>
  <si>
    <t>TX-8986C</t>
  </si>
  <si>
    <t>TX-8986C Mechanical Seal Leak</t>
  </si>
  <si>
    <t>MTO-2025-BDX-0373</t>
  </si>
  <si>
    <t>AR-2025-BDX-0026</t>
  </si>
  <si>
    <t>TK-2331A</t>
  </si>
  <si>
    <t>2025-06-20</t>
  </si>
  <si>
    <t>TK-2331A Mechanical Seal Leak</t>
  </si>
  <si>
    <t>MTO-2026-BRP-0374</t>
  </si>
  <si>
    <t>BL-3069</t>
  </si>
  <si>
    <t>BL-3069 Gearbox High Vibration</t>
  </si>
  <si>
    <t>MTO-2026-ZCU-0375</t>
  </si>
  <si>
    <t>AR-2026-ZCU-0244</t>
  </si>
  <si>
    <t>KO-5329A</t>
  </si>
  <si>
    <t>2026-04-18</t>
  </si>
  <si>
    <t>KO-5329A Shaft Crack</t>
  </si>
  <si>
    <t>2026-06-02</t>
  </si>
  <si>
    <t>MTO-2025-ZCU-0376</t>
  </si>
  <si>
    <t>AR-2025-ZCU-0090</t>
  </si>
  <si>
    <t>CD-7057A</t>
  </si>
  <si>
    <t>2025-10-09</t>
  </si>
  <si>
    <t>CD-7057A Control Valve Leakage</t>
  </si>
  <si>
    <t>2025-11-23</t>
  </si>
  <si>
    <t>MTO-2024-OPP-0377</t>
  </si>
  <si>
    <t>AR-2024-OPP-0246</t>
  </si>
  <si>
    <t>CD-5731B</t>
  </si>
  <si>
    <t>2024-05-17</t>
  </si>
  <si>
    <t>CD-5731B Gearbox High Vibration</t>
  </si>
  <si>
    <t>MTO-2025-OP2-0378</t>
  </si>
  <si>
    <t>AR-2025-OP2-0016</t>
  </si>
  <si>
    <t>TK-2277B</t>
  </si>
  <si>
    <t>TK-2277B Solenoid Malfunction</t>
  </si>
  <si>
    <t>2026-01-02</t>
  </si>
  <si>
    <t>MTO-2024-ZCU-0379</t>
  </si>
  <si>
    <t>AR-2024-ZCU-0116</t>
  </si>
  <si>
    <t>PM-3895A</t>
  </si>
  <si>
    <t>PM-3895A Shaft Crack</t>
  </si>
  <si>
    <t>MTO-2024-OP2-0380</t>
  </si>
  <si>
    <t>KO-7858</t>
  </si>
  <si>
    <t>KO-7858 Oil Seal Leakage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</si>
</sst>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0D0D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/>
  </sheetViews>
  <sheetFormatPr defaultColWidth="8.7109375" defaultRowHeight="15"/>
  <cols>
    <col min="1" max="1" width="30" customWidth="1"/>
    <col min="2" max="3" width="12" customWidth="1"/>
    <col min="4" max="4" width="20" customWidth="1"/>
    <col min="5" max="6" width="10" customWidth="1"/>
  </cols>
  <sheetData>
    <row r="1" spans="1:6" ht="17.45">
      <c r="A1" s="9" t="s">
        <v>0</v>
      </c>
      <c r="B1" s="9"/>
      <c r="C1" s="9"/>
      <c r="D1" s="9"/>
      <c r="E1" s="9"/>
    </row>
    <row r="3" spans="1:6">
      <c r="A3" s="2" t="s">
        <v>1</v>
      </c>
      <c r="B3" s="3">
        <f>COUNTA('Incident Database'!A4:A383)</f>
        <v>380</v>
      </c>
    </row>
    <row r="4" spans="1:6">
      <c r="A4" s="2" t="s">
        <v>2</v>
      </c>
      <c r="B4" s="3">
        <f>SUM('Incident Database'!R4:R383)</f>
        <v>2261.0999999999985</v>
      </c>
    </row>
    <row r="5" spans="1:6">
      <c r="A5" s="2" t="s">
        <v>3</v>
      </c>
      <c r="B5" s="3">
        <f>SUM('Incident Database'!U4:U383)</f>
        <v>67194.430000000051</v>
      </c>
    </row>
    <row r="6" spans="1:6">
      <c r="A6" s="2" t="s">
        <v>4</v>
      </c>
      <c r="B6" s="3">
        <f>B5/B3</f>
        <v>176.82744736842119</v>
      </c>
    </row>
    <row r="8" spans="1:6">
      <c r="A8" s="4" t="s">
        <v>5</v>
      </c>
      <c r="D8" s="4" t="s">
        <v>6</v>
      </c>
      <c r="F8" t="s">
        <v>7</v>
      </c>
    </row>
    <row r="9" spans="1:6">
      <c r="A9" s="3" t="s">
        <v>8</v>
      </c>
      <c r="B9" s="3">
        <f>COUNTIF('Incident Database'!M4:M383,"RISK CLOSED")</f>
        <v>113</v>
      </c>
      <c r="D9" s="3" t="s">
        <v>9</v>
      </c>
      <c r="E9" s="3">
        <f>COUNTIF('Incident Database'!N4:N383,"ROT")</f>
        <v>145</v>
      </c>
      <c r="F9" s="3">
        <f>SUMIF('Incident Database'!N4:N383,"ROT",'Incident Database'!U4:U383)</f>
        <v>26833.620000000006</v>
      </c>
    </row>
    <row r="10" spans="1:6">
      <c r="A10" s="3" t="s">
        <v>10</v>
      </c>
      <c r="B10" s="3">
        <f>COUNTIF('Incident Database'!M4:M383,"CA/PA EXECUTION")</f>
        <v>92</v>
      </c>
      <c r="D10" s="3" t="s">
        <v>11</v>
      </c>
      <c r="E10" s="3">
        <f>COUNTIF('Incident Database'!N4:N383,"INS")</f>
        <v>87</v>
      </c>
      <c r="F10" s="3">
        <f>SUMIF('Incident Database'!N4:N383,"INS",'Incident Database'!U4:U383)</f>
        <v>15717.269999999993</v>
      </c>
    </row>
    <row r="11" spans="1:6">
      <c r="A11" s="3" t="s">
        <v>12</v>
      </c>
      <c r="B11" s="3">
        <f>COUNTIF('Incident Database'!M4:M383,"RCA PROCESS")</f>
        <v>71</v>
      </c>
      <c r="D11" s="3" t="s">
        <v>13</v>
      </c>
      <c r="E11" s="3">
        <f>COUNTIF('Incident Database'!N4:N383,"STA")</f>
        <v>87</v>
      </c>
      <c r="F11" s="3">
        <f>SUMIF('Incident Database'!N4:N383,"STA",'Incident Database'!U4:U383)</f>
        <v>14465.57</v>
      </c>
    </row>
    <row r="12" spans="1:6">
      <c r="A12" s="3" t="s">
        <v>14</v>
      </c>
      <c r="B12" s="3">
        <f>COUNTIF('Incident Database'!M4:M383,"RISK CANCELED")</f>
        <v>47</v>
      </c>
      <c r="D12" s="3" t="s">
        <v>15</v>
      </c>
      <c r="E12" s="3">
        <f>COUNTIF('Incident Database'!N4:N383,"ELE")</f>
        <v>61</v>
      </c>
      <c r="F12" s="3">
        <f>SUMIF('Incident Database'!N4:N383,"ELE",'Incident Database'!U4:U383)</f>
        <v>10177.970000000001</v>
      </c>
    </row>
    <row r="13" spans="1:6">
      <c r="A13" s="3" t="s">
        <v>16</v>
      </c>
      <c r="B13" s="3">
        <f>COUNTIF('Incident Database'!M4:M383,"MONITORING RESULT")</f>
        <v>37</v>
      </c>
    </row>
    <row r="14" spans="1:6">
      <c r="A14" s="3" t="s">
        <v>17</v>
      </c>
      <c r="B14" s="3">
        <f>COUNTIF('Incident Database'!M4:M383,"NEW REGISTERED")</f>
        <v>20</v>
      </c>
    </row>
    <row r="16" spans="1:6">
      <c r="A16" s="4" t="s">
        <v>18</v>
      </c>
      <c r="C16" s="4" t="s">
        <v>7</v>
      </c>
      <c r="D16" s="4" t="s">
        <v>19</v>
      </c>
    </row>
    <row r="17" spans="1:5">
      <c r="A17" s="3" t="s">
        <v>20</v>
      </c>
      <c r="B17" s="3">
        <f>COUNTIF('Incident Database'!D4:D383,"ZCU")</f>
        <v>62</v>
      </c>
      <c r="C17" s="3">
        <f>SUMIF('Incident Database'!D4:D383,"ZCU",'Incident Database'!U4:U383)</f>
        <v>11112.659999999996</v>
      </c>
      <c r="D17" s="3" t="s">
        <v>21</v>
      </c>
      <c r="E17" s="3">
        <f>COUNTIF('Incident Database'!O4:O383,"PU")</f>
        <v>31</v>
      </c>
    </row>
    <row r="18" spans="1:5">
      <c r="A18" s="3" t="s">
        <v>22</v>
      </c>
      <c r="B18" s="3">
        <f>COUNTIF('Incident Database'!D4:D383,"ARP")</f>
        <v>49</v>
      </c>
      <c r="C18" s="3">
        <f>SUMIF('Incident Database'!D4:D383,"ARP",'Incident Database'!U4:U383)</f>
        <v>9083.2899999999991</v>
      </c>
      <c r="D18" s="3" t="s">
        <v>23</v>
      </c>
      <c r="E18" s="3">
        <f>COUNTIF('Incident Database'!O4:O383,"CO")</f>
        <v>25</v>
      </c>
    </row>
    <row r="19" spans="1:5">
      <c r="A19" s="3" t="s">
        <v>24</v>
      </c>
      <c r="B19" s="3">
        <f>COUNTIF('Incident Database'!D4:D383,"OPP")</f>
        <v>42</v>
      </c>
      <c r="C19" s="3">
        <f>SUMIF('Incident Database'!D4:D383,"OPP",'Incident Database'!U4:U383)</f>
        <v>7544.9599999999982</v>
      </c>
      <c r="D19" s="3" t="s">
        <v>25</v>
      </c>
      <c r="E19" s="3">
        <f>COUNTIF('Incident Database'!O4:O383,"BL")</f>
        <v>31</v>
      </c>
    </row>
    <row r="20" spans="1:5">
      <c r="A20" s="3" t="s">
        <v>26</v>
      </c>
      <c r="B20" s="3">
        <f>COUNTIF('Incident Database'!D4:D383,"OP2")</f>
        <v>37</v>
      </c>
      <c r="C20" s="3">
        <f>SUMIF('Incident Database'!D4:D383,"OP2",'Incident Database'!U4:U383)</f>
        <v>5808.57</v>
      </c>
      <c r="D20" s="3" t="s">
        <v>27</v>
      </c>
      <c r="E20" s="3">
        <f>COUNTIF('Incident Database'!O4:O383,"FA")</f>
        <v>17</v>
      </c>
    </row>
    <row r="21" spans="1:5">
      <c r="A21" s="3" t="s">
        <v>28</v>
      </c>
      <c r="B21" s="3">
        <f>COUNTIF('Incident Database'!D4:D383,"SMX")</f>
        <v>42</v>
      </c>
      <c r="C21" s="3">
        <f>SUMIF('Incident Database'!D4:D383,"SMX",'Incident Database'!U4:U383)</f>
        <v>7434.8799999999992</v>
      </c>
      <c r="D21" s="3" t="s">
        <v>29</v>
      </c>
      <c r="E21" s="3">
        <f>COUNTIF('Incident Database'!O4:O383,"EM")</f>
        <v>40</v>
      </c>
    </row>
    <row r="22" spans="1:5">
      <c r="A22" s="3" t="s">
        <v>30</v>
      </c>
      <c r="B22" s="3">
        <f>COUNTIF('Incident Database'!D4:D383,"BRP")</f>
        <v>26</v>
      </c>
      <c r="C22" s="3">
        <f>SUMIF('Incident Database'!D4:D383,"BRP",'Incident Database'!U4:U383)</f>
        <v>5099.84</v>
      </c>
      <c r="D22" s="3" t="s">
        <v>31</v>
      </c>
      <c r="E22" s="3">
        <f>COUNTIF('Incident Database'!O4:O383,"VA")</f>
        <v>15</v>
      </c>
    </row>
    <row r="23" spans="1:5">
      <c r="A23" s="3" t="s">
        <v>32</v>
      </c>
      <c r="B23" s="3">
        <f>COUNTIF('Incident Database'!D4:D383,"OP3")</f>
        <v>32</v>
      </c>
      <c r="C23" s="3">
        <f>SUMIF('Incident Database'!D4:D383,"OP3",'Incident Database'!U4:U383)</f>
        <v>5264.3399999999992</v>
      </c>
      <c r="D23" s="3" t="s">
        <v>33</v>
      </c>
      <c r="E23" s="3">
        <f>COUNTIF('Incident Database'!O4:O383,"TX")</f>
        <v>47</v>
      </c>
    </row>
    <row r="24" spans="1:5">
      <c r="A24" s="3" t="s">
        <v>34</v>
      </c>
      <c r="B24" s="3">
        <f>COUNTIF('Incident Database'!D4:D383,"NUP")</f>
        <v>24</v>
      </c>
      <c r="C24" s="3">
        <f>SUMIF('Incident Database'!D4:D383,"NUP",'Incident Database'!U4:U383)</f>
        <v>5489.0700000000006</v>
      </c>
      <c r="D24" s="3" t="s">
        <v>35</v>
      </c>
      <c r="E24" s="3">
        <f>COUNTIF('Incident Database'!O4:O383,"HB")</f>
        <v>21</v>
      </c>
    </row>
    <row r="25" spans="1:5">
      <c r="A25" s="3" t="s">
        <v>36</v>
      </c>
      <c r="B25" s="3">
        <f>COUNTIF('Incident Database'!D4:D383,"CRP")</f>
        <v>25</v>
      </c>
      <c r="C25" s="3">
        <f>SUMIF('Incident Database'!D4:D383,"CRP",'Incident Database'!U4:U383)</f>
        <v>3344.5899999999997</v>
      </c>
      <c r="D25" s="3" t="s">
        <v>37</v>
      </c>
      <c r="E25" s="3">
        <f>COUNTIF('Incident Database'!O4:O383,"TK")</f>
        <v>19</v>
      </c>
    </row>
    <row r="26" spans="1:5">
      <c r="A26" s="3" t="s">
        <v>38</v>
      </c>
      <c r="B26" s="3">
        <f>COUNTIF('Incident Database'!D4:D383,"BDX")</f>
        <v>20</v>
      </c>
      <c r="C26" s="3">
        <f>SUMIF('Incident Database'!D4:D383,"BDX",'Incident Database'!U4:U383)</f>
        <v>2791.42</v>
      </c>
      <c r="D26" s="3" t="s">
        <v>39</v>
      </c>
      <c r="E26" s="3">
        <f>COUNTIF('Incident Database'!O4:O383,"RX")</f>
        <v>22</v>
      </c>
    </row>
    <row r="27" spans="1:5">
      <c r="A27" s="3" t="s">
        <v>40</v>
      </c>
      <c r="B27" s="3">
        <f>COUNTIF('Incident Database'!D4:D383,"OPU")</f>
        <v>14</v>
      </c>
      <c r="C27" s="3">
        <f>SUMIF('Incident Database'!D4:D383,"OPU",'Incident Database'!U4:U383)</f>
        <v>3202.8599999999997</v>
      </c>
      <c r="D27" s="3" t="s">
        <v>41</v>
      </c>
      <c r="E27" s="3">
        <f>COUNTIF('Incident Database'!O4:O383,"PZ")</f>
        <v>24</v>
      </c>
    </row>
    <row r="28" spans="1:5">
      <c r="A28" s="3" t="s">
        <v>42</v>
      </c>
      <c r="B28" s="3">
        <f>COUNTIF('Incident Database'!D4:D383,"TKX")</f>
        <v>7</v>
      </c>
      <c r="C28" s="3">
        <f>SUMIF('Incident Database'!D4:D383,"TKX",'Incident Database'!U4:U383)</f>
        <v>1017.95</v>
      </c>
      <c r="D28" s="3" t="s">
        <v>43</v>
      </c>
      <c r="E28" s="3">
        <f>COUNTIF('Incident Database'!O4:O383,"SX")</f>
        <v>21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9" customWidth="1"/>
    <col min="2" max="3" width="22" customWidth="1"/>
    <col min="4" max="4" width="11" customWidth="1"/>
    <col min="5" max="5" width="12" customWidth="1"/>
    <col min="6" max="6" width="9" customWidth="1"/>
    <col min="7" max="7" width="12" customWidth="1"/>
    <col min="8" max="8" width="34" customWidth="1"/>
    <col min="9" max="9" width="20" customWidth="1"/>
    <col min="10" max="10" width="9" customWidth="1"/>
    <col min="11" max="12" width="10" customWidth="1"/>
    <col min="13" max="13" width="18" customWidth="1"/>
    <col min="14" max="14" width="11" customWidth="1"/>
    <col min="15" max="15" width="9" customWidth="1"/>
    <col min="16" max="17" width="15" customWidth="1"/>
    <col min="18" max="18" width="12" customWidth="1"/>
    <col min="19" max="21" width="14" customWidth="1"/>
    <col min="22" max="22" width="12" customWidth="1"/>
    <col min="23" max="23" width="11" customWidth="1"/>
  </cols>
  <sheetData>
    <row r="1" spans="1:23" ht="17.45" customHeight="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ht="30" customHeight="1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  <c r="R3" s="5" t="s">
        <v>62</v>
      </c>
      <c r="S3" s="5" t="s">
        <v>63</v>
      </c>
      <c r="T3" s="5" t="s">
        <v>64</v>
      </c>
      <c r="U3" s="5" t="s">
        <v>3</v>
      </c>
      <c r="V3" s="5" t="s">
        <v>65</v>
      </c>
      <c r="W3" s="5" t="s">
        <v>66</v>
      </c>
    </row>
    <row r="4" spans="1:23">
      <c r="A4" s="6">
        <v>1</v>
      </c>
      <c r="B4" s="7" t="s">
        <v>67</v>
      </c>
      <c r="C4" s="7" t="s">
        <v>68</v>
      </c>
      <c r="D4" s="6" t="s">
        <v>22</v>
      </c>
      <c r="E4" s="6" t="s">
        <v>69</v>
      </c>
      <c r="F4" s="6" t="s">
        <v>70</v>
      </c>
      <c r="G4" s="6" t="s">
        <v>71</v>
      </c>
      <c r="H4" s="7" t="s">
        <v>72</v>
      </c>
      <c r="I4" s="6" t="s">
        <v>73</v>
      </c>
      <c r="J4" s="6" t="s">
        <v>74</v>
      </c>
      <c r="K4" s="6">
        <v>200</v>
      </c>
      <c r="L4" s="6" t="s">
        <v>75</v>
      </c>
      <c r="M4" s="6" t="s">
        <v>10</v>
      </c>
      <c r="N4" s="6" t="s">
        <v>9</v>
      </c>
      <c r="O4" s="6" t="s">
        <v>21</v>
      </c>
      <c r="P4" s="6" t="s">
        <v>76</v>
      </c>
      <c r="Q4" s="6" t="s">
        <v>77</v>
      </c>
      <c r="R4" s="8">
        <v>18.5</v>
      </c>
      <c r="S4" s="8">
        <v>226.44</v>
      </c>
      <c r="T4" s="8">
        <v>67.930000000000007</v>
      </c>
      <c r="U4" s="8">
        <v>294.37</v>
      </c>
      <c r="V4" s="6" t="s">
        <v>78</v>
      </c>
      <c r="W4" s="6" t="s">
        <v>79</v>
      </c>
    </row>
    <row r="5" spans="1:23" ht="22.35">
      <c r="A5" s="6">
        <v>2</v>
      </c>
      <c r="B5" s="7" t="s">
        <v>80</v>
      </c>
      <c r="C5" s="7" t="s">
        <v>81</v>
      </c>
      <c r="D5" s="6" t="s">
        <v>20</v>
      </c>
      <c r="E5" s="6" t="s">
        <v>82</v>
      </c>
      <c r="F5" s="6" t="s">
        <v>83</v>
      </c>
      <c r="G5" s="6" t="s">
        <v>84</v>
      </c>
      <c r="H5" s="7" t="s">
        <v>85</v>
      </c>
      <c r="I5" s="6" t="s">
        <v>86</v>
      </c>
      <c r="J5" s="6" t="s">
        <v>87</v>
      </c>
      <c r="K5" s="6">
        <v>4000</v>
      </c>
      <c r="L5" s="6" t="s">
        <v>75</v>
      </c>
      <c r="M5" s="6" t="s">
        <v>10</v>
      </c>
      <c r="N5" s="6" t="s">
        <v>9</v>
      </c>
      <c r="O5" s="6" t="s">
        <v>23</v>
      </c>
      <c r="P5" s="6" t="s">
        <v>88</v>
      </c>
      <c r="Q5" s="6" t="s">
        <v>89</v>
      </c>
      <c r="R5" s="8">
        <v>32</v>
      </c>
      <c r="S5" s="8">
        <v>1584</v>
      </c>
      <c r="T5" s="8">
        <v>475.2</v>
      </c>
      <c r="U5" s="8">
        <v>2059.1999999999998</v>
      </c>
      <c r="V5" s="6" t="s">
        <v>90</v>
      </c>
      <c r="W5" s="6" t="s">
        <v>91</v>
      </c>
    </row>
    <row r="6" spans="1:23" ht="22.35">
      <c r="A6" s="6">
        <v>3</v>
      </c>
      <c r="B6" s="7" t="s">
        <v>92</v>
      </c>
      <c r="C6" s="7" t="s">
        <v>93</v>
      </c>
      <c r="D6" s="6" t="s">
        <v>34</v>
      </c>
      <c r="E6" s="6" t="s">
        <v>94</v>
      </c>
      <c r="F6" s="6" t="s">
        <v>70</v>
      </c>
      <c r="G6" s="6" t="s">
        <v>95</v>
      </c>
      <c r="H6" s="7" t="s">
        <v>96</v>
      </c>
      <c r="I6" s="6" t="s">
        <v>73</v>
      </c>
      <c r="J6" s="6" t="s">
        <v>74</v>
      </c>
      <c r="K6" s="6">
        <v>200</v>
      </c>
      <c r="L6" s="6" t="s">
        <v>97</v>
      </c>
      <c r="M6" s="6" t="s">
        <v>10</v>
      </c>
      <c r="N6" s="6" t="s">
        <v>15</v>
      </c>
      <c r="O6" s="6" t="s">
        <v>29</v>
      </c>
      <c r="P6" s="6" t="s">
        <v>98</v>
      </c>
      <c r="Q6" s="6" t="s">
        <v>99</v>
      </c>
      <c r="R6" s="8">
        <v>8</v>
      </c>
      <c r="S6" s="8">
        <v>112</v>
      </c>
      <c r="T6" s="8">
        <v>33.6</v>
      </c>
      <c r="U6" s="8">
        <v>145.6</v>
      </c>
      <c r="V6" s="6" t="s">
        <v>100</v>
      </c>
      <c r="W6" s="6" t="s">
        <v>101</v>
      </c>
    </row>
    <row r="7" spans="1:23" ht="22.35">
      <c r="A7" s="6">
        <v>4</v>
      </c>
      <c r="B7" s="7" t="s">
        <v>102</v>
      </c>
      <c r="C7" s="7" t="s">
        <v>103</v>
      </c>
      <c r="D7" s="6" t="s">
        <v>20</v>
      </c>
      <c r="E7" s="6" t="s">
        <v>104</v>
      </c>
      <c r="F7" s="6" t="s">
        <v>70</v>
      </c>
      <c r="G7" s="6" t="s">
        <v>105</v>
      </c>
      <c r="H7" s="7" t="s">
        <v>106</v>
      </c>
      <c r="I7" s="6" t="s">
        <v>73</v>
      </c>
      <c r="J7" s="6" t="s">
        <v>74</v>
      </c>
      <c r="K7" s="6">
        <v>400</v>
      </c>
      <c r="L7" s="6" t="s">
        <v>107</v>
      </c>
      <c r="M7" s="6" t="s">
        <v>10</v>
      </c>
      <c r="N7" s="6" t="s">
        <v>13</v>
      </c>
      <c r="O7" s="6" t="s">
        <v>35</v>
      </c>
      <c r="P7" s="6" t="s">
        <v>108</v>
      </c>
      <c r="Q7" s="6" t="s">
        <v>89</v>
      </c>
      <c r="R7" s="8">
        <v>12</v>
      </c>
      <c r="S7" s="8">
        <v>183.6</v>
      </c>
      <c r="T7" s="8">
        <v>55.08</v>
      </c>
      <c r="U7" s="8">
        <v>238.68</v>
      </c>
      <c r="V7" s="6" t="s">
        <v>109</v>
      </c>
      <c r="W7" s="6" t="s">
        <v>110</v>
      </c>
    </row>
    <row r="8" spans="1:23" ht="22.35">
      <c r="A8" s="6">
        <v>5</v>
      </c>
      <c r="B8" s="7" t="s">
        <v>111</v>
      </c>
      <c r="C8" s="7" t="s">
        <v>112</v>
      </c>
      <c r="D8" s="6" t="s">
        <v>24</v>
      </c>
      <c r="E8" s="6" t="s">
        <v>113</v>
      </c>
      <c r="F8" s="6" t="s">
        <v>83</v>
      </c>
      <c r="G8" s="6" t="s">
        <v>114</v>
      </c>
      <c r="H8" s="7" t="s">
        <v>115</v>
      </c>
      <c r="I8" s="6" t="s">
        <v>86</v>
      </c>
      <c r="J8" s="6" t="s">
        <v>74</v>
      </c>
      <c r="K8" s="6">
        <v>400</v>
      </c>
      <c r="L8" s="6" t="s">
        <v>116</v>
      </c>
      <c r="M8" s="6" t="s">
        <v>10</v>
      </c>
      <c r="N8" s="6" t="s">
        <v>9</v>
      </c>
      <c r="O8" s="6" t="s">
        <v>25</v>
      </c>
      <c r="P8" s="6" t="s">
        <v>117</v>
      </c>
      <c r="Q8" s="6" t="s">
        <v>89</v>
      </c>
      <c r="R8" s="8">
        <v>14</v>
      </c>
      <c r="S8" s="8">
        <v>478.8</v>
      </c>
      <c r="T8" s="8">
        <v>143.63999999999999</v>
      </c>
      <c r="U8" s="8">
        <v>622.44000000000005</v>
      </c>
      <c r="V8" s="6" t="s">
        <v>118</v>
      </c>
      <c r="W8" s="6" t="s">
        <v>119</v>
      </c>
    </row>
    <row r="9" spans="1:23">
      <c r="A9" s="6">
        <v>6</v>
      </c>
      <c r="B9" s="7" t="s">
        <v>120</v>
      </c>
      <c r="C9" s="7" t="s">
        <v>121</v>
      </c>
      <c r="D9" s="6" t="s">
        <v>24</v>
      </c>
      <c r="E9" s="6" t="s">
        <v>122</v>
      </c>
      <c r="F9" s="6" t="s">
        <v>70</v>
      </c>
      <c r="G9" s="6" t="s">
        <v>123</v>
      </c>
      <c r="H9" s="7" t="s">
        <v>124</v>
      </c>
      <c r="I9" s="6" t="s">
        <v>86</v>
      </c>
      <c r="J9" s="6" t="s">
        <v>125</v>
      </c>
      <c r="K9" s="6">
        <v>60</v>
      </c>
      <c r="L9" s="6" t="s">
        <v>126</v>
      </c>
      <c r="M9" s="6" t="s">
        <v>12</v>
      </c>
      <c r="N9" s="6" t="s">
        <v>15</v>
      </c>
      <c r="O9" s="6" t="s">
        <v>127</v>
      </c>
      <c r="P9" s="6" t="s">
        <v>128</v>
      </c>
      <c r="Q9" s="6" t="s">
        <v>129</v>
      </c>
      <c r="R9" s="8">
        <v>4.7</v>
      </c>
      <c r="S9" s="8">
        <v>184.02</v>
      </c>
      <c r="T9" s="8">
        <v>37.549999999999997</v>
      </c>
      <c r="U9" s="8">
        <v>221.57</v>
      </c>
      <c r="V9" s="6" t="s">
        <v>130</v>
      </c>
      <c r="W9" s="6" t="s">
        <v>131</v>
      </c>
    </row>
    <row r="10" spans="1:23">
      <c r="A10" s="6">
        <v>7</v>
      </c>
      <c r="B10" s="7" t="s">
        <v>132</v>
      </c>
      <c r="C10" s="7" t="s">
        <v>133</v>
      </c>
      <c r="D10" s="6" t="s">
        <v>22</v>
      </c>
      <c r="E10" s="6" t="s">
        <v>134</v>
      </c>
      <c r="F10" s="6" t="s">
        <v>83</v>
      </c>
      <c r="G10" s="6" t="s">
        <v>135</v>
      </c>
      <c r="H10" s="7" t="s">
        <v>136</v>
      </c>
      <c r="I10" s="6" t="s">
        <v>137</v>
      </c>
      <c r="J10" s="6" t="s">
        <v>74</v>
      </c>
      <c r="K10" s="6">
        <v>600</v>
      </c>
      <c r="L10" s="6" t="s">
        <v>138</v>
      </c>
      <c r="M10" s="6" t="s">
        <v>10</v>
      </c>
      <c r="N10" s="6" t="s">
        <v>11</v>
      </c>
      <c r="O10" s="6" t="s">
        <v>31</v>
      </c>
      <c r="P10" s="6" t="s">
        <v>99</v>
      </c>
      <c r="Q10" s="6" t="s">
        <v>139</v>
      </c>
      <c r="R10" s="8">
        <v>0</v>
      </c>
      <c r="S10" s="8">
        <v>4.03</v>
      </c>
      <c r="T10" s="8">
        <v>49.98</v>
      </c>
      <c r="U10" s="8">
        <v>54.01</v>
      </c>
      <c r="V10" s="6" t="s">
        <v>140</v>
      </c>
      <c r="W10" s="6" t="s">
        <v>141</v>
      </c>
    </row>
    <row r="11" spans="1:23">
      <c r="A11" s="6">
        <v>8</v>
      </c>
      <c r="B11" s="7" t="s">
        <v>142</v>
      </c>
      <c r="C11" s="7" t="s">
        <v>143</v>
      </c>
      <c r="D11" s="6" t="s">
        <v>20</v>
      </c>
      <c r="E11" s="6" t="s">
        <v>144</v>
      </c>
      <c r="F11" s="6" t="s">
        <v>83</v>
      </c>
      <c r="G11" s="6" t="s">
        <v>145</v>
      </c>
      <c r="H11" s="7" t="s">
        <v>146</v>
      </c>
      <c r="I11" s="6" t="s">
        <v>147</v>
      </c>
      <c r="J11" s="6" t="s">
        <v>125</v>
      </c>
      <c r="K11" s="6">
        <v>40</v>
      </c>
      <c r="L11" s="6" t="s">
        <v>138</v>
      </c>
      <c r="M11" s="6" t="s">
        <v>10</v>
      </c>
      <c r="N11" s="6" t="s">
        <v>11</v>
      </c>
      <c r="O11" s="6" t="s">
        <v>41</v>
      </c>
      <c r="P11" s="6" t="s">
        <v>148</v>
      </c>
      <c r="Q11" s="6" t="s">
        <v>149</v>
      </c>
      <c r="R11" s="8">
        <v>1.8</v>
      </c>
      <c r="S11" s="8">
        <v>82.03</v>
      </c>
      <c r="T11" s="8">
        <v>24.92</v>
      </c>
      <c r="U11" s="8">
        <v>106.95</v>
      </c>
      <c r="V11" s="6" t="s">
        <v>150</v>
      </c>
      <c r="W11" s="6" t="s">
        <v>151</v>
      </c>
    </row>
    <row r="12" spans="1:23">
      <c r="A12" s="6">
        <v>9</v>
      </c>
      <c r="B12" s="7" t="s">
        <v>152</v>
      </c>
      <c r="C12" s="7" t="s">
        <v>121</v>
      </c>
      <c r="D12" s="6" t="s">
        <v>28</v>
      </c>
      <c r="E12" s="6" t="s">
        <v>153</v>
      </c>
      <c r="F12" s="6" t="s">
        <v>83</v>
      </c>
      <c r="G12" s="6" t="s">
        <v>154</v>
      </c>
      <c r="H12" s="7" t="s">
        <v>155</v>
      </c>
      <c r="I12" s="6" t="s">
        <v>137</v>
      </c>
      <c r="J12" s="6" t="s">
        <v>74</v>
      </c>
      <c r="K12" s="6">
        <v>200</v>
      </c>
      <c r="L12" s="6" t="s">
        <v>126</v>
      </c>
      <c r="M12" s="6" t="s">
        <v>14</v>
      </c>
      <c r="N12" s="6" t="s">
        <v>15</v>
      </c>
      <c r="O12" s="6" t="s">
        <v>156</v>
      </c>
      <c r="P12" s="6" t="s">
        <v>157</v>
      </c>
      <c r="Q12" s="6" t="s">
        <v>158</v>
      </c>
      <c r="R12" s="8">
        <v>0</v>
      </c>
      <c r="S12" s="8">
        <v>0.51</v>
      </c>
      <c r="T12" s="8">
        <v>0</v>
      </c>
      <c r="U12" s="8">
        <v>0.51</v>
      </c>
      <c r="V12" s="6" t="s">
        <v>121</v>
      </c>
      <c r="W12" s="6" t="s">
        <v>119</v>
      </c>
    </row>
    <row r="13" spans="1:23">
      <c r="A13" s="6">
        <v>10</v>
      </c>
      <c r="B13" s="7" t="s">
        <v>159</v>
      </c>
      <c r="C13" s="7" t="s">
        <v>121</v>
      </c>
      <c r="D13" s="6" t="s">
        <v>22</v>
      </c>
      <c r="E13" s="6" t="s">
        <v>160</v>
      </c>
      <c r="F13" s="6" t="s">
        <v>70</v>
      </c>
      <c r="G13" s="6" t="s">
        <v>161</v>
      </c>
      <c r="H13" s="7" t="s">
        <v>162</v>
      </c>
      <c r="I13" s="6" t="s">
        <v>147</v>
      </c>
      <c r="J13" s="6" t="s">
        <v>87</v>
      </c>
      <c r="K13" s="6">
        <v>4000</v>
      </c>
      <c r="L13" s="6" t="s">
        <v>163</v>
      </c>
      <c r="M13" s="6" t="s">
        <v>12</v>
      </c>
      <c r="N13" s="6" t="s">
        <v>15</v>
      </c>
      <c r="O13" s="6" t="s">
        <v>29</v>
      </c>
      <c r="P13" s="6" t="s">
        <v>148</v>
      </c>
      <c r="Q13" s="6" t="s">
        <v>149</v>
      </c>
      <c r="R13" s="8">
        <v>8.4</v>
      </c>
      <c r="S13" s="8">
        <v>415.26</v>
      </c>
      <c r="T13" s="8">
        <v>39.99</v>
      </c>
      <c r="U13" s="8">
        <v>455.25</v>
      </c>
      <c r="V13" s="6" t="s">
        <v>164</v>
      </c>
      <c r="W13" s="6" t="s">
        <v>165</v>
      </c>
    </row>
    <row r="14" spans="1:23">
      <c r="A14" s="6">
        <v>11</v>
      </c>
      <c r="B14" s="7" t="s">
        <v>166</v>
      </c>
      <c r="C14" s="7" t="s">
        <v>167</v>
      </c>
      <c r="D14" s="6" t="s">
        <v>28</v>
      </c>
      <c r="E14" s="6" t="s">
        <v>168</v>
      </c>
      <c r="F14" s="6" t="s">
        <v>83</v>
      </c>
      <c r="G14" s="6" t="s">
        <v>169</v>
      </c>
      <c r="H14" s="7" t="s">
        <v>170</v>
      </c>
      <c r="I14" s="6" t="s">
        <v>73</v>
      </c>
      <c r="J14" s="6" t="s">
        <v>74</v>
      </c>
      <c r="K14" s="6">
        <v>400</v>
      </c>
      <c r="L14" s="6" t="s">
        <v>171</v>
      </c>
      <c r="M14" s="6" t="s">
        <v>14</v>
      </c>
      <c r="N14" s="6" t="s">
        <v>15</v>
      </c>
      <c r="O14" s="6" t="s">
        <v>156</v>
      </c>
      <c r="P14" s="6" t="s">
        <v>172</v>
      </c>
      <c r="Q14" s="6" t="s">
        <v>149</v>
      </c>
      <c r="R14" s="8">
        <v>1.3</v>
      </c>
      <c r="S14" s="8">
        <v>26.75</v>
      </c>
      <c r="T14" s="8">
        <v>0</v>
      </c>
      <c r="U14" s="8">
        <v>26.75</v>
      </c>
      <c r="V14" s="6" t="s">
        <v>121</v>
      </c>
      <c r="W14" s="6" t="s">
        <v>173</v>
      </c>
    </row>
    <row r="15" spans="1:23">
      <c r="A15" s="6">
        <v>12</v>
      </c>
      <c r="B15" s="7" t="s">
        <v>174</v>
      </c>
      <c r="C15" s="7" t="s">
        <v>121</v>
      </c>
      <c r="D15" s="6" t="s">
        <v>28</v>
      </c>
      <c r="E15" s="6" t="s">
        <v>175</v>
      </c>
      <c r="F15" s="6" t="s">
        <v>70</v>
      </c>
      <c r="G15" s="6" t="s">
        <v>176</v>
      </c>
      <c r="H15" s="7" t="s">
        <v>177</v>
      </c>
      <c r="I15" s="6" t="s">
        <v>73</v>
      </c>
      <c r="J15" s="6" t="s">
        <v>87</v>
      </c>
      <c r="K15" s="6">
        <v>2000</v>
      </c>
      <c r="L15" s="6" t="s">
        <v>126</v>
      </c>
      <c r="M15" s="6" t="s">
        <v>10</v>
      </c>
      <c r="N15" s="6" t="s">
        <v>13</v>
      </c>
      <c r="O15" s="6" t="s">
        <v>39</v>
      </c>
      <c r="P15" s="6" t="s">
        <v>178</v>
      </c>
      <c r="Q15" s="6" t="s">
        <v>179</v>
      </c>
      <c r="R15" s="8">
        <v>17.3</v>
      </c>
      <c r="S15" s="8">
        <v>722.5</v>
      </c>
      <c r="T15" s="8">
        <v>12.94</v>
      </c>
      <c r="U15" s="8">
        <v>735.44</v>
      </c>
      <c r="V15" s="6" t="s">
        <v>180</v>
      </c>
      <c r="W15" s="6" t="s">
        <v>165</v>
      </c>
    </row>
    <row r="16" spans="1:23">
      <c r="A16" s="6">
        <v>13</v>
      </c>
      <c r="B16" s="7" t="s">
        <v>181</v>
      </c>
      <c r="C16" s="7" t="s">
        <v>121</v>
      </c>
      <c r="D16" s="6" t="s">
        <v>36</v>
      </c>
      <c r="E16" s="6" t="s">
        <v>182</v>
      </c>
      <c r="F16" s="6" t="s">
        <v>83</v>
      </c>
      <c r="G16" s="6" t="s">
        <v>183</v>
      </c>
      <c r="H16" s="7" t="s">
        <v>184</v>
      </c>
      <c r="I16" s="6" t="s">
        <v>73</v>
      </c>
      <c r="J16" s="6" t="s">
        <v>74</v>
      </c>
      <c r="K16" s="6">
        <v>200</v>
      </c>
      <c r="L16" s="6" t="s">
        <v>75</v>
      </c>
      <c r="M16" s="6" t="s">
        <v>10</v>
      </c>
      <c r="N16" s="6" t="s">
        <v>11</v>
      </c>
      <c r="O16" s="6" t="s">
        <v>31</v>
      </c>
      <c r="P16" s="6" t="s">
        <v>185</v>
      </c>
      <c r="Q16" s="6" t="s">
        <v>186</v>
      </c>
      <c r="R16" s="8">
        <v>8.3000000000000007</v>
      </c>
      <c r="S16" s="8">
        <v>131.83000000000001</v>
      </c>
      <c r="T16" s="8">
        <v>29.03</v>
      </c>
      <c r="U16" s="8">
        <v>160.86000000000001</v>
      </c>
      <c r="V16" s="6" t="s">
        <v>187</v>
      </c>
      <c r="W16" s="6" t="s">
        <v>141</v>
      </c>
    </row>
    <row r="17" spans="1:23">
      <c r="A17" s="6">
        <v>14</v>
      </c>
      <c r="B17" s="7" t="s">
        <v>188</v>
      </c>
      <c r="C17" s="7" t="s">
        <v>121</v>
      </c>
      <c r="D17" s="6" t="s">
        <v>34</v>
      </c>
      <c r="E17" s="6" t="s">
        <v>189</v>
      </c>
      <c r="F17" s="6" t="s">
        <v>70</v>
      </c>
      <c r="G17" s="6" t="s">
        <v>190</v>
      </c>
      <c r="H17" s="7" t="s">
        <v>191</v>
      </c>
      <c r="I17" s="6" t="s">
        <v>137</v>
      </c>
      <c r="J17" s="6" t="s">
        <v>74</v>
      </c>
      <c r="K17" s="6">
        <v>200</v>
      </c>
      <c r="L17" s="6" t="s">
        <v>163</v>
      </c>
      <c r="M17" s="6" t="s">
        <v>8</v>
      </c>
      <c r="N17" s="6" t="s">
        <v>9</v>
      </c>
      <c r="O17" s="6" t="s">
        <v>27</v>
      </c>
      <c r="P17" s="6" t="s">
        <v>192</v>
      </c>
      <c r="Q17" s="6" t="s">
        <v>129</v>
      </c>
      <c r="R17" s="8">
        <v>0</v>
      </c>
      <c r="S17" s="8">
        <v>3.45</v>
      </c>
      <c r="T17" s="8">
        <v>0</v>
      </c>
      <c r="U17" s="8">
        <v>3.45</v>
      </c>
      <c r="V17" s="6" t="s">
        <v>121</v>
      </c>
      <c r="W17" s="6" t="s">
        <v>193</v>
      </c>
    </row>
    <row r="18" spans="1:23">
      <c r="A18" s="6">
        <v>15</v>
      </c>
      <c r="B18" s="7" t="s">
        <v>194</v>
      </c>
      <c r="C18" s="7" t="s">
        <v>195</v>
      </c>
      <c r="D18" s="6" t="s">
        <v>28</v>
      </c>
      <c r="E18" s="6" t="s">
        <v>196</v>
      </c>
      <c r="F18" s="6" t="s">
        <v>83</v>
      </c>
      <c r="G18" s="6" t="s">
        <v>197</v>
      </c>
      <c r="H18" s="7" t="s">
        <v>198</v>
      </c>
      <c r="I18" s="6" t="s">
        <v>86</v>
      </c>
      <c r="J18" s="6" t="s">
        <v>125</v>
      </c>
      <c r="K18" s="6">
        <v>6</v>
      </c>
      <c r="L18" s="6" t="s">
        <v>199</v>
      </c>
      <c r="M18" s="6" t="s">
        <v>14</v>
      </c>
      <c r="N18" s="6" t="s">
        <v>11</v>
      </c>
      <c r="O18" s="6" t="s">
        <v>33</v>
      </c>
      <c r="P18" s="6" t="s">
        <v>200</v>
      </c>
      <c r="Q18" s="6" t="s">
        <v>129</v>
      </c>
      <c r="R18" s="8">
        <v>2.1</v>
      </c>
      <c r="S18" s="8">
        <v>48.62</v>
      </c>
      <c r="T18" s="8">
        <v>0</v>
      </c>
      <c r="U18" s="8">
        <v>48.62</v>
      </c>
      <c r="V18" s="6" t="s">
        <v>121</v>
      </c>
      <c r="W18" s="6" t="s">
        <v>131</v>
      </c>
    </row>
    <row r="19" spans="1:23">
      <c r="A19" s="6">
        <v>16</v>
      </c>
      <c r="B19" s="7" t="s">
        <v>201</v>
      </c>
      <c r="C19" s="7" t="s">
        <v>202</v>
      </c>
      <c r="D19" s="6" t="s">
        <v>34</v>
      </c>
      <c r="E19" s="6" t="s">
        <v>203</v>
      </c>
      <c r="F19" s="6" t="s">
        <v>83</v>
      </c>
      <c r="G19" s="6" t="s">
        <v>204</v>
      </c>
      <c r="H19" s="7" t="s">
        <v>205</v>
      </c>
      <c r="I19" s="6" t="s">
        <v>73</v>
      </c>
      <c r="J19" s="6" t="s">
        <v>125</v>
      </c>
      <c r="K19" s="6">
        <v>6</v>
      </c>
      <c r="L19" s="6" t="s">
        <v>171</v>
      </c>
      <c r="M19" s="6" t="s">
        <v>8</v>
      </c>
      <c r="N19" s="6" t="s">
        <v>9</v>
      </c>
      <c r="O19" s="6" t="s">
        <v>21</v>
      </c>
      <c r="P19" s="6" t="s">
        <v>108</v>
      </c>
      <c r="Q19" s="6" t="s">
        <v>206</v>
      </c>
      <c r="R19" s="8">
        <v>5.2</v>
      </c>
      <c r="S19" s="8">
        <v>124.25</v>
      </c>
      <c r="T19" s="8">
        <v>0</v>
      </c>
      <c r="U19" s="8">
        <v>124.25</v>
      </c>
      <c r="V19" s="6" t="s">
        <v>121</v>
      </c>
      <c r="W19" s="6" t="s">
        <v>207</v>
      </c>
    </row>
    <row r="20" spans="1:23">
      <c r="A20" s="6">
        <v>17</v>
      </c>
      <c r="B20" s="7" t="s">
        <v>208</v>
      </c>
      <c r="C20" s="7" t="s">
        <v>121</v>
      </c>
      <c r="D20" s="6" t="s">
        <v>28</v>
      </c>
      <c r="E20" s="6" t="s">
        <v>209</v>
      </c>
      <c r="F20" s="6" t="s">
        <v>83</v>
      </c>
      <c r="G20" s="6" t="s">
        <v>210</v>
      </c>
      <c r="H20" s="7" t="s">
        <v>211</v>
      </c>
      <c r="I20" s="6" t="s">
        <v>86</v>
      </c>
      <c r="J20" s="6" t="s">
        <v>125</v>
      </c>
      <c r="K20" s="6">
        <v>6</v>
      </c>
      <c r="L20" s="6" t="s">
        <v>116</v>
      </c>
      <c r="M20" s="6" t="s">
        <v>12</v>
      </c>
      <c r="N20" s="6" t="s">
        <v>11</v>
      </c>
      <c r="O20" s="6" t="s">
        <v>33</v>
      </c>
      <c r="P20" s="6" t="s">
        <v>117</v>
      </c>
      <c r="Q20" s="6" t="s">
        <v>158</v>
      </c>
      <c r="R20" s="8">
        <v>0.8</v>
      </c>
      <c r="S20" s="8">
        <v>20.66</v>
      </c>
      <c r="T20" s="8">
        <v>9.77</v>
      </c>
      <c r="U20" s="8">
        <v>30.43</v>
      </c>
      <c r="V20" s="6" t="s">
        <v>212</v>
      </c>
      <c r="W20" s="6" t="s">
        <v>131</v>
      </c>
    </row>
    <row r="21" spans="1:23" ht="22.35">
      <c r="A21" s="6">
        <v>18</v>
      </c>
      <c r="B21" s="7" t="s">
        <v>213</v>
      </c>
      <c r="C21" s="7" t="s">
        <v>214</v>
      </c>
      <c r="D21" s="6" t="s">
        <v>28</v>
      </c>
      <c r="E21" s="6" t="s">
        <v>215</v>
      </c>
      <c r="F21" s="6" t="s">
        <v>83</v>
      </c>
      <c r="G21" s="6" t="s">
        <v>216</v>
      </c>
      <c r="H21" s="7" t="s">
        <v>217</v>
      </c>
      <c r="I21" s="6" t="s">
        <v>86</v>
      </c>
      <c r="J21" s="6" t="s">
        <v>74</v>
      </c>
      <c r="K21" s="6">
        <v>600</v>
      </c>
      <c r="L21" s="6" t="s">
        <v>218</v>
      </c>
      <c r="M21" s="6" t="s">
        <v>16</v>
      </c>
      <c r="N21" s="6" t="s">
        <v>15</v>
      </c>
      <c r="O21" s="6" t="s">
        <v>156</v>
      </c>
      <c r="P21" s="6" t="s">
        <v>172</v>
      </c>
      <c r="Q21" s="6" t="s">
        <v>149</v>
      </c>
      <c r="R21" s="8">
        <v>12.5</v>
      </c>
      <c r="S21" s="8">
        <v>187.39</v>
      </c>
      <c r="T21" s="8">
        <v>0</v>
      </c>
      <c r="U21" s="8">
        <v>187.39</v>
      </c>
      <c r="V21" s="6" t="s">
        <v>121</v>
      </c>
      <c r="W21" s="6" t="s">
        <v>219</v>
      </c>
    </row>
    <row r="22" spans="1:23">
      <c r="A22" s="6">
        <v>19</v>
      </c>
      <c r="B22" s="7" t="s">
        <v>220</v>
      </c>
      <c r="C22" s="7" t="s">
        <v>221</v>
      </c>
      <c r="D22" s="6" t="s">
        <v>26</v>
      </c>
      <c r="E22" s="6" t="s">
        <v>222</v>
      </c>
      <c r="F22" s="6" t="s">
        <v>83</v>
      </c>
      <c r="G22" s="6" t="s">
        <v>223</v>
      </c>
      <c r="H22" s="7" t="s">
        <v>224</v>
      </c>
      <c r="I22" s="6" t="s">
        <v>86</v>
      </c>
      <c r="J22" s="6" t="s">
        <v>74</v>
      </c>
      <c r="K22" s="6">
        <v>400</v>
      </c>
      <c r="L22" s="6" t="s">
        <v>218</v>
      </c>
      <c r="M22" s="6" t="s">
        <v>8</v>
      </c>
      <c r="N22" s="6" t="s">
        <v>9</v>
      </c>
      <c r="O22" s="6" t="s">
        <v>29</v>
      </c>
      <c r="P22" s="6" t="s">
        <v>172</v>
      </c>
      <c r="Q22" s="6" t="s">
        <v>225</v>
      </c>
      <c r="R22" s="8">
        <v>10.7</v>
      </c>
      <c r="S22" s="8">
        <v>254.95</v>
      </c>
      <c r="T22" s="8">
        <v>0</v>
      </c>
      <c r="U22" s="8">
        <v>254.95</v>
      </c>
      <c r="V22" s="6" t="s">
        <v>121</v>
      </c>
      <c r="W22" s="6" t="s">
        <v>207</v>
      </c>
    </row>
    <row r="23" spans="1:23">
      <c r="A23" s="6">
        <v>20</v>
      </c>
      <c r="B23" s="7" t="s">
        <v>226</v>
      </c>
      <c r="C23" s="7" t="s">
        <v>121</v>
      </c>
      <c r="D23" s="6" t="s">
        <v>28</v>
      </c>
      <c r="E23" s="6" t="s">
        <v>227</v>
      </c>
      <c r="F23" s="6" t="s">
        <v>70</v>
      </c>
      <c r="G23" s="6" t="s">
        <v>228</v>
      </c>
      <c r="H23" s="7" t="s">
        <v>229</v>
      </c>
      <c r="I23" s="6" t="s">
        <v>147</v>
      </c>
      <c r="J23" s="6" t="s">
        <v>74</v>
      </c>
      <c r="K23" s="6">
        <v>400</v>
      </c>
      <c r="L23" s="6" t="s">
        <v>163</v>
      </c>
      <c r="M23" s="6" t="s">
        <v>12</v>
      </c>
      <c r="N23" s="6" t="s">
        <v>9</v>
      </c>
      <c r="O23" s="6" t="s">
        <v>21</v>
      </c>
      <c r="P23" s="6" t="s">
        <v>172</v>
      </c>
      <c r="Q23" s="6" t="s">
        <v>149</v>
      </c>
      <c r="R23" s="8">
        <v>2.1</v>
      </c>
      <c r="S23" s="8">
        <v>32.78</v>
      </c>
      <c r="T23" s="8">
        <v>17.600000000000001</v>
      </c>
      <c r="U23" s="8">
        <v>50.38</v>
      </c>
      <c r="V23" s="6" t="s">
        <v>230</v>
      </c>
      <c r="W23" s="6" t="s">
        <v>79</v>
      </c>
    </row>
    <row r="24" spans="1:23">
      <c r="A24" s="6">
        <v>21</v>
      </c>
      <c r="B24" s="7" t="s">
        <v>231</v>
      </c>
      <c r="C24" s="7" t="s">
        <v>232</v>
      </c>
      <c r="D24" s="6" t="s">
        <v>30</v>
      </c>
      <c r="E24" s="6" t="s">
        <v>233</v>
      </c>
      <c r="F24" s="6" t="s">
        <v>83</v>
      </c>
      <c r="G24" s="6" t="s">
        <v>234</v>
      </c>
      <c r="H24" s="7" t="s">
        <v>235</v>
      </c>
      <c r="I24" s="6" t="s">
        <v>86</v>
      </c>
      <c r="J24" s="6" t="s">
        <v>125</v>
      </c>
      <c r="K24" s="6">
        <v>40</v>
      </c>
      <c r="L24" s="6" t="s">
        <v>163</v>
      </c>
      <c r="M24" s="6" t="s">
        <v>12</v>
      </c>
      <c r="N24" s="6" t="s">
        <v>11</v>
      </c>
      <c r="O24" s="6" t="s">
        <v>33</v>
      </c>
      <c r="P24" s="6" t="s">
        <v>128</v>
      </c>
      <c r="Q24" s="6" t="s">
        <v>129</v>
      </c>
      <c r="R24" s="8">
        <v>22.9</v>
      </c>
      <c r="S24" s="8">
        <v>596.79</v>
      </c>
      <c r="T24" s="8">
        <v>39.08</v>
      </c>
      <c r="U24" s="8">
        <v>635.87</v>
      </c>
      <c r="V24" s="6" t="s">
        <v>236</v>
      </c>
      <c r="W24" s="6" t="s">
        <v>151</v>
      </c>
    </row>
    <row r="25" spans="1:23">
      <c r="A25" s="6">
        <v>22</v>
      </c>
      <c r="B25" s="7" t="s">
        <v>237</v>
      </c>
      <c r="C25" s="7" t="s">
        <v>121</v>
      </c>
      <c r="D25" s="6" t="s">
        <v>32</v>
      </c>
      <c r="E25" s="6" t="s">
        <v>238</v>
      </c>
      <c r="F25" s="6" t="s">
        <v>83</v>
      </c>
      <c r="G25" s="6" t="s">
        <v>239</v>
      </c>
      <c r="H25" s="7" t="s">
        <v>240</v>
      </c>
      <c r="I25" s="6" t="s">
        <v>137</v>
      </c>
      <c r="J25" s="6" t="s">
        <v>125</v>
      </c>
      <c r="K25" s="6">
        <v>40</v>
      </c>
      <c r="L25" s="6" t="s">
        <v>241</v>
      </c>
      <c r="M25" s="6" t="s">
        <v>8</v>
      </c>
      <c r="N25" s="6" t="s">
        <v>13</v>
      </c>
      <c r="O25" s="6" t="s">
        <v>37</v>
      </c>
      <c r="P25" s="6" t="s">
        <v>128</v>
      </c>
      <c r="Q25" s="6" t="s">
        <v>129</v>
      </c>
      <c r="R25" s="8">
        <v>0</v>
      </c>
      <c r="S25" s="8">
        <v>4.33</v>
      </c>
      <c r="T25" s="8">
        <v>0</v>
      </c>
      <c r="U25" s="8">
        <v>4.33</v>
      </c>
      <c r="V25" s="6" t="s">
        <v>121</v>
      </c>
      <c r="W25" s="6" t="s">
        <v>242</v>
      </c>
    </row>
    <row r="26" spans="1:23">
      <c r="A26" s="6">
        <v>23</v>
      </c>
      <c r="B26" s="7" t="s">
        <v>243</v>
      </c>
      <c r="C26" s="7" t="s">
        <v>244</v>
      </c>
      <c r="D26" s="6" t="s">
        <v>26</v>
      </c>
      <c r="E26" s="6" t="s">
        <v>245</v>
      </c>
      <c r="F26" s="6" t="s">
        <v>83</v>
      </c>
      <c r="G26" s="6" t="s">
        <v>246</v>
      </c>
      <c r="H26" s="7" t="s">
        <v>247</v>
      </c>
      <c r="I26" s="6" t="s">
        <v>137</v>
      </c>
      <c r="J26" s="6" t="s">
        <v>74</v>
      </c>
      <c r="K26" s="6">
        <v>400</v>
      </c>
      <c r="L26" s="6" t="s">
        <v>171</v>
      </c>
      <c r="M26" s="6" t="s">
        <v>10</v>
      </c>
      <c r="N26" s="6" t="s">
        <v>9</v>
      </c>
      <c r="O26" s="6" t="s">
        <v>21</v>
      </c>
      <c r="P26" s="6" t="s">
        <v>248</v>
      </c>
      <c r="Q26" s="6" t="s">
        <v>249</v>
      </c>
      <c r="R26" s="8">
        <v>0</v>
      </c>
      <c r="S26" s="8">
        <v>3.57</v>
      </c>
      <c r="T26" s="8">
        <v>1.9</v>
      </c>
      <c r="U26" s="8">
        <v>5.47</v>
      </c>
      <c r="V26" s="6" t="s">
        <v>250</v>
      </c>
      <c r="W26" s="6" t="s">
        <v>251</v>
      </c>
    </row>
    <row r="27" spans="1:23">
      <c r="A27" s="6">
        <v>24</v>
      </c>
      <c r="B27" s="7" t="s">
        <v>252</v>
      </c>
      <c r="C27" s="7" t="s">
        <v>121</v>
      </c>
      <c r="D27" s="6" t="s">
        <v>26</v>
      </c>
      <c r="E27" s="6" t="s">
        <v>253</v>
      </c>
      <c r="F27" s="6" t="s">
        <v>70</v>
      </c>
      <c r="G27" s="6" t="s">
        <v>254</v>
      </c>
      <c r="H27" s="7" t="s">
        <v>255</v>
      </c>
      <c r="I27" s="6" t="s">
        <v>147</v>
      </c>
      <c r="J27" s="6" t="s">
        <v>125</v>
      </c>
      <c r="K27" s="6">
        <v>40</v>
      </c>
      <c r="L27" s="6" t="s">
        <v>126</v>
      </c>
      <c r="M27" s="6" t="s">
        <v>8</v>
      </c>
      <c r="N27" s="6" t="s">
        <v>15</v>
      </c>
      <c r="O27" s="6" t="s">
        <v>29</v>
      </c>
      <c r="P27" s="6" t="s">
        <v>256</v>
      </c>
      <c r="Q27" s="6" t="s">
        <v>149</v>
      </c>
      <c r="R27" s="8">
        <v>5.2</v>
      </c>
      <c r="S27" s="8">
        <v>118.19</v>
      </c>
      <c r="T27" s="8">
        <v>0</v>
      </c>
      <c r="U27" s="8">
        <v>118.19</v>
      </c>
      <c r="V27" s="6" t="s">
        <v>121</v>
      </c>
      <c r="W27" s="6" t="s">
        <v>257</v>
      </c>
    </row>
    <row r="28" spans="1:23">
      <c r="A28" s="6">
        <v>25</v>
      </c>
      <c r="B28" s="7" t="s">
        <v>258</v>
      </c>
      <c r="C28" s="7" t="s">
        <v>259</v>
      </c>
      <c r="D28" s="6" t="s">
        <v>32</v>
      </c>
      <c r="E28" s="6" t="s">
        <v>260</v>
      </c>
      <c r="F28" s="6" t="s">
        <v>83</v>
      </c>
      <c r="G28" s="6" t="s">
        <v>261</v>
      </c>
      <c r="H28" s="7" t="s">
        <v>262</v>
      </c>
      <c r="I28" s="6" t="s">
        <v>147</v>
      </c>
      <c r="J28" s="6" t="s">
        <v>74</v>
      </c>
      <c r="K28" s="6">
        <v>400</v>
      </c>
      <c r="L28" s="6" t="s">
        <v>75</v>
      </c>
      <c r="M28" s="6" t="s">
        <v>8</v>
      </c>
      <c r="N28" s="6" t="s">
        <v>9</v>
      </c>
      <c r="O28" s="6" t="s">
        <v>21</v>
      </c>
      <c r="P28" s="6" t="s">
        <v>99</v>
      </c>
      <c r="Q28" s="6" t="s">
        <v>139</v>
      </c>
      <c r="R28" s="8">
        <v>0.2</v>
      </c>
      <c r="S28" s="8">
        <v>6.14</v>
      </c>
      <c r="T28" s="8">
        <v>0</v>
      </c>
      <c r="U28" s="8">
        <v>6.14</v>
      </c>
      <c r="V28" s="6" t="s">
        <v>121</v>
      </c>
      <c r="W28" s="6" t="s">
        <v>263</v>
      </c>
    </row>
    <row r="29" spans="1:23">
      <c r="A29" s="6">
        <v>26</v>
      </c>
      <c r="B29" s="7" t="s">
        <v>264</v>
      </c>
      <c r="C29" s="7" t="s">
        <v>121</v>
      </c>
      <c r="D29" s="6" t="s">
        <v>20</v>
      </c>
      <c r="E29" s="6" t="s">
        <v>265</v>
      </c>
      <c r="F29" s="6" t="s">
        <v>83</v>
      </c>
      <c r="G29" s="6" t="s">
        <v>123</v>
      </c>
      <c r="H29" s="7" t="s">
        <v>266</v>
      </c>
      <c r="I29" s="6" t="s">
        <v>86</v>
      </c>
      <c r="J29" s="6" t="s">
        <v>125</v>
      </c>
      <c r="K29" s="6">
        <v>40</v>
      </c>
      <c r="L29" s="6" t="s">
        <v>267</v>
      </c>
      <c r="M29" s="6" t="s">
        <v>12</v>
      </c>
      <c r="N29" s="6" t="s">
        <v>11</v>
      </c>
      <c r="O29" s="6" t="s">
        <v>41</v>
      </c>
      <c r="P29" s="6" t="s">
        <v>76</v>
      </c>
      <c r="Q29" s="6" t="s">
        <v>149</v>
      </c>
      <c r="R29" s="8">
        <v>19.600000000000001</v>
      </c>
      <c r="S29" s="8">
        <v>352.95</v>
      </c>
      <c r="T29" s="8">
        <v>1.42</v>
      </c>
      <c r="U29" s="8">
        <v>354.37</v>
      </c>
      <c r="V29" s="6" t="s">
        <v>130</v>
      </c>
      <c r="W29" s="6" t="s">
        <v>131</v>
      </c>
    </row>
    <row r="30" spans="1:23">
      <c r="A30" s="6">
        <v>27</v>
      </c>
      <c r="B30" s="7" t="s">
        <v>268</v>
      </c>
      <c r="C30" s="7" t="s">
        <v>269</v>
      </c>
      <c r="D30" s="6" t="s">
        <v>28</v>
      </c>
      <c r="E30" s="6" t="s">
        <v>270</v>
      </c>
      <c r="F30" s="6" t="s">
        <v>83</v>
      </c>
      <c r="G30" s="6" t="s">
        <v>271</v>
      </c>
      <c r="H30" s="7" t="s">
        <v>272</v>
      </c>
      <c r="I30" s="6" t="s">
        <v>86</v>
      </c>
      <c r="J30" s="6" t="s">
        <v>125</v>
      </c>
      <c r="K30" s="6">
        <v>40</v>
      </c>
      <c r="L30" s="6" t="s">
        <v>163</v>
      </c>
      <c r="M30" s="6" t="s">
        <v>8</v>
      </c>
      <c r="N30" s="6" t="s">
        <v>15</v>
      </c>
      <c r="O30" s="6" t="s">
        <v>29</v>
      </c>
      <c r="P30" s="6" t="s">
        <v>248</v>
      </c>
      <c r="Q30" s="6" t="s">
        <v>249</v>
      </c>
      <c r="R30" s="8">
        <v>5</v>
      </c>
      <c r="S30" s="8">
        <v>135.61000000000001</v>
      </c>
      <c r="T30" s="8">
        <v>0</v>
      </c>
      <c r="U30" s="8">
        <v>135.61000000000001</v>
      </c>
      <c r="V30" s="6" t="s">
        <v>121</v>
      </c>
      <c r="W30" s="6" t="s">
        <v>173</v>
      </c>
    </row>
    <row r="31" spans="1:23">
      <c r="A31" s="6">
        <v>28</v>
      </c>
      <c r="B31" s="7" t="s">
        <v>273</v>
      </c>
      <c r="C31" s="7" t="s">
        <v>121</v>
      </c>
      <c r="D31" s="6" t="s">
        <v>40</v>
      </c>
      <c r="E31" s="6" t="s">
        <v>274</v>
      </c>
      <c r="F31" s="6" t="s">
        <v>70</v>
      </c>
      <c r="G31" s="6" t="s">
        <v>275</v>
      </c>
      <c r="H31" s="7" t="s">
        <v>276</v>
      </c>
      <c r="I31" s="6" t="s">
        <v>73</v>
      </c>
      <c r="J31" s="6" t="s">
        <v>74</v>
      </c>
      <c r="K31" s="6">
        <v>200</v>
      </c>
      <c r="L31" s="6" t="s">
        <v>97</v>
      </c>
      <c r="M31" s="6" t="s">
        <v>12</v>
      </c>
      <c r="N31" s="6" t="s">
        <v>11</v>
      </c>
      <c r="O31" s="6" t="s">
        <v>41</v>
      </c>
      <c r="P31" s="6" t="s">
        <v>277</v>
      </c>
      <c r="Q31" s="6" t="s">
        <v>149</v>
      </c>
      <c r="R31" s="8">
        <v>33</v>
      </c>
      <c r="S31" s="8">
        <v>781.28</v>
      </c>
      <c r="T31" s="8">
        <v>33.96</v>
      </c>
      <c r="U31" s="8">
        <v>815.24</v>
      </c>
      <c r="V31" s="6" t="s">
        <v>109</v>
      </c>
      <c r="W31" s="6" t="s">
        <v>119</v>
      </c>
    </row>
    <row r="32" spans="1:23">
      <c r="A32" s="6">
        <v>29</v>
      </c>
      <c r="B32" s="7" t="s">
        <v>278</v>
      </c>
      <c r="C32" s="7" t="s">
        <v>279</v>
      </c>
      <c r="D32" s="6" t="s">
        <v>38</v>
      </c>
      <c r="E32" s="6" t="s">
        <v>280</v>
      </c>
      <c r="F32" s="6" t="s">
        <v>83</v>
      </c>
      <c r="G32" s="6" t="s">
        <v>281</v>
      </c>
      <c r="H32" s="7" t="s">
        <v>282</v>
      </c>
      <c r="I32" s="6" t="s">
        <v>73</v>
      </c>
      <c r="J32" s="6" t="s">
        <v>125</v>
      </c>
      <c r="K32" s="6">
        <v>60</v>
      </c>
      <c r="L32" s="6" t="s">
        <v>267</v>
      </c>
      <c r="M32" s="6" t="s">
        <v>10</v>
      </c>
      <c r="N32" s="6" t="s">
        <v>9</v>
      </c>
      <c r="O32" s="6" t="s">
        <v>29</v>
      </c>
      <c r="P32" s="6" t="s">
        <v>248</v>
      </c>
      <c r="Q32" s="6" t="s">
        <v>249</v>
      </c>
      <c r="R32" s="8">
        <v>5.9</v>
      </c>
      <c r="S32" s="8">
        <v>180.34</v>
      </c>
      <c r="T32" s="8">
        <v>29.03</v>
      </c>
      <c r="U32" s="8">
        <v>209.37</v>
      </c>
      <c r="V32" s="6" t="s">
        <v>283</v>
      </c>
      <c r="W32" s="6" t="s">
        <v>284</v>
      </c>
    </row>
    <row r="33" spans="1:23">
      <c r="A33" s="6">
        <v>30</v>
      </c>
      <c r="B33" s="7" t="s">
        <v>285</v>
      </c>
      <c r="C33" s="7" t="s">
        <v>121</v>
      </c>
      <c r="D33" s="6" t="s">
        <v>28</v>
      </c>
      <c r="E33" s="6" t="s">
        <v>286</v>
      </c>
      <c r="F33" s="6" t="s">
        <v>70</v>
      </c>
      <c r="G33" s="6" t="s">
        <v>287</v>
      </c>
      <c r="H33" s="7" t="s">
        <v>288</v>
      </c>
      <c r="I33" s="6" t="s">
        <v>86</v>
      </c>
      <c r="J33" s="6" t="s">
        <v>125</v>
      </c>
      <c r="K33" s="6">
        <v>40</v>
      </c>
      <c r="L33" s="6" t="s">
        <v>241</v>
      </c>
      <c r="M33" s="6" t="s">
        <v>12</v>
      </c>
      <c r="N33" s="6" t="s">
        <v>9</v>
      </c>
      <c r="O33" s="6" t="s">
        <v>29</v>
      </c>
      <c r="P33" s="6" t="s">
        <v>192</v>
      </c>
      <c r="Q33" s="6" t="s">
        <v>289</v>
      </c>
      <c r="R33" s="8">
        <v>8.9</v>
      </c>
      <c r="S33" s="8">
        <v>164.35</v>
      </c>
      <c r="T33" s="8">
        <v>5.04</v>
      </c>
      <c r="U33" s="8">
        <v>169.39</v>
      </c>
      <c r="V33" s="6" t="s">
        <v>290</v>
      </c>
      <c r="W33" s="6" t="s">
        <v>291</v>
      </c>
    </row>
    <row r="34" spans="1:23">
      <c r="A34" s="6">
        <v>31</v>
      </c>
      <c r="B34" s="7" t="s">
        <v>292</v>
      </c>
      <c r="C34" s="7" t="s">
        <v>121</v>
      </c>
      <c r="D34" s="6" t="s">
        <v>22</v>
      </c>
      <c r="E34" s="6" t="s">
        <v>293</v>
      </c>
      <c r="F34" s="6" t="s">
        <v>70</v>
      </c>
      <c r="G34" s="6" t="s">
        <v>294</v>
      </c>
      <c r="H34" s="7" t="s">
        <v>295</v>
      </c>
      <c r="I34" s="6" t="s">
        <v>86</v>
      </c>
      <c r="J34" s="6" t="s">
        <v>87</v>
      </c>
      <c r="K34" s="6">
        <v>2000</v>
      </c>
      <c r="L34" s="6" t="s">
        <v>116</v>
      </c>
      <c r="M34" s="6" t="s">
        <v>17</v>
      </c>
      <c r="N34" s="6" t="s">
        <v>15</v>
      </c>
      <c r="O34" s="6" t="s">
        <v>127</v>
      </c>
      <c r="P34" s="6" t="s">
        <v>99</v>
      </c>
      <c r="Q34" s="6" t="s">
        <v>139</v>
      </c>
      <c r="R34" s="8">
        <v>3.9</v>
      </c>
      <c r="S34" s="8">
        <v>64.66</v>
      </c>
      <c r="T34" s="8">
        <v>19.46</v>
      </c>
      <c r="U34" s="8">
        <v>84.12</v>
      </c>
      <c r="V34" s="6" t="s">
        <v>296</v>
      </c>
      <c r="W34" s="6" t="s">
        <v>207</v>
      </c>
    </row>
    <row r="35" spans="1:23">
      <c r="A35" s="6">
        <v>32</v>
      </c>
      <c r="B35" s="7" t="s">
        <v>297</v>
      </c>
      <c r="C35" s="7" t="s">
        <v>121</v>
      </c>
      <c r="D35" s="6" t="s">
        <v>24</v>
      </c>
      <c r="E35" s="6" t="s">
        <v>298</v>
      </c>
      <c r="F35" s="6" t="s">
        <v>83</v>
      </c>
      <c r="G35" s="6" t="s">
        <v>299</v>
      </c>
      <c r="H35" s="7" t="s">
        <v>300</v>
      </c>
      <c r="I35" s="6" t="s">
        <v>73</v>
      </c>
      <c r="J35" s="6" t="s">
        <v>125</v>
      </c>
      <c r="K35" s="6">
        <v>40</v>
      </c>
      <c r="L35" s="6" t="s">
        <v>126</v>
      </c>
      <c r="M35" s="6" t="s">
        <v>8</v>
      </c>
      <c r="N35" s="6" t="s">
        <v>13</v>
      </c>
      <c r="O35" s="6" t="s">
        <v>37</v>
      </c>
      <c r="P35" s="6" t="s">
        <v>172</v>
      </c>
      <c r="Q35" s="6" t="s">
        <v>225</v>
      </c>
      <c r="R35" s="8">
        <v>4</v>
      </c>
      <c r="S35" s="8">
        <v>144.69</v>
      </c>
      <c r="T35" s="8">
        <v>0</v>
      </c>
      <c r="U35" s="8">
        <v>144.69</v>
      </c>
      <c r="V35" s="6" t="s">
        <v>121</v>
      </c>
      <c r="W35" s="6" t="s">
        <v>251</v>
      </c>
    </row>
    <row r="36" spans="1:23">
      <c r="A36" s="6">
        <v>33</v>
      </c>
      <c r="B36" s="7" t="s">
        <v>301</v>
      </c>
      <c r="C36" s="7" t="s">
        <v>302</v>
      </c>
      <c r="D36" s="6" t="s">
        <v>24</v>
      </c>
      <c r="E36" s="6" t="s">
        <v>303</v>
      </c>
      <c r="F36" s="6" t="s">
        <v>83</v>
      </c>
      <c r="G36" s="6" t="s">
        <v>304</v>
      </c>
      <c r="H36" s="7" t="s">
        <v>305</v>
      </c>
      <c r="I36" s="6" t="s">
        <v>73</v>
      </c>
      <c r="J36" s="6" t="s">
        <v>125</v>
      </c>
      <c r="K36" s="6">
        <v>6</v>
      </c>
      <c r="L36" s="6" t="s">
        <v>126</v>
      </c>
      <c r="M36" s="6" t="s">
        <v>10</v>
      </c>
      <c r="N36" s="6" t="s">
        <v>13</v>
      </c>
      <c r="O36" s="6" t="s">
        <v>37</v>
      </c>
      <c r="P36" s="6" t="s">
        <v>192</v>
      </c>
      <c r="Q36" s="6" t="s">
        <v>289</v>
      </c>
      <c r="R36" s="8">
        <v>6.6</v>
      </c>
      <c r="S36" s="8">
        <v>188.2</v>
      </c>
      <c r="T36" s="8">
        <v>42.1</v>
      </c>
      <c r="U36" s="8">
        <v>230.3</v>
      </c>
      <c r="V36" s="6" t="s">
        <v>306</v>
      </c>
      <c r="W36" s="6" t="s">
        <v>141</v>
      </c>
    </row>
    <row r="37" spans="1:23">
      <c r="A37" s="6">
        <v>34</v>
      </c>
      <c r="B37" s="7" t="s">
        <v>307</v>
      </c>
      <c r="C37" s="7" t="s">
        <v>308</v>
      </c>
      <c r="D37" s="6" t="s">
        <v>22</v>
      </c>
      <c r="E37" s="6" t="s">
        <v>309</v>
      </c>
      <c r="F37" s="6" t="s">
        <v>83</v>
      </c>
      <c r="G37" s="6" t="s">
        <v>310</v>
      </c>
      <c r="H37" s="7" t="s">
        <v>311</v>
      </c>
      <c r="I37" s="6" t="s">
        <v>137</v>
      </c>
      <c r="J37" s="6" t="s">
        <v>125</v>
      </c>
      <c r="K37" s="6">
        <v>40</v>
      </c>
      <c r="L37" s="6" t="s">
        <v>163</v>
      </c>
      <c r="M37" s="6" t="s">
        <v>12</v>
      </c>
      <c r="N37" s="6" t="s">
        <v>11</v>
      </c>
      <c r="O37" s="6" t="s">
        <v>33</v>
      </c>
      <c r="P37" s="6" t="s">
        <v>128</v>
      </c>
      <c r="Q37" s="6" t="s">
        <v>129</v>
      </c>
      <c r="R37" s="8">
        <v>0</v>
      </c>
      <c r="S37" s="8">
        <v>4.55</v>
      </c>
      <c r="T37" s="8">
        <v>6.05</v>
      </c>
      <c r="U37" s="8">
        <v>10.6</v>
      </c>
      <c r="V37" s="6" t="s">
        <v>312</v>
      </c>
      <c r="W37" s="6" t="s">
        <v>207</v>
      </c>
    </row>
    <row r="38" spans="1:23">
      <c r="A38" s="6">
        <v>35</v>
      </c>
      <c r="B38" s="7" t="s">
        <v>313</v>
      </c>
      <c r="C38" s="7" t="s">
        <v>121</v>
      </c>
      <c r="D38" s="6" t="s">
        <v>36</v>
      </c>
      <c r="E38" s="6" t="s">
        <v>314</v>
      </c>
      <c r="F38" s="6" t="s">
        <v>70</v>
      </c>
      <c r="G38" s="6" t="s">
        <v>315</v>
      </c>
      <c r="H38" s="7" t="s">
        <v>316</v>
      </c>
      <c r="I38" s="6" t="s">
        <v>137</v>
      </c>
      <c r="J38" s="6" t="s">
        <v>125</v>
      </c>
      <c r="K38" s="6">
        <v>60</v>
      </c>
      <c r="L38" s="6" t="s">
        <v>107</v>
      </c>
      <c r="M38" s="6" t="s">
        <v>8</v>
      </c>
      <c r="N38" s="6" t="s">
        <v>15</v>
      </c>
      <c r="O38" s="6" t="s">
        <v>156</v>
      </c>
      <c r="P38" s="6" t="s">
        <v>192</v>
      </c>
      <c r="Q38" s="6" t="s">
        <v>158</v>
      </c>
      <c r="R38" s="8">
        <v>0</v>
      </c>
      <c r="S38" s="8">
        <v>1.66</v>
      </c>
      <c r="T38" s="8">
        <v>0</v>
      </c>
      <c r="U38" s="8">
        <v>1.66</v>
      </c>
      <c r="V38" s="6" t="s">
        <v>121</v>
      </c>
      <c r="W38" s="6" t="s">
        <v>317</v>
      </c>
    </row>
    <row r="39" spans="1:23">
      <c r="A39" s="6">
        <v>36</v>
      </c>
      <c r="B39" s="7" t="s">
        <v>318</v>
      </c>
      <c r="C39" s="7" t="s">
        <v>319</v>
      </c>
      <c r="D39" s="6" t="s">
        <v>38</v>
      </c>
      <c r="E39" s="6" t="s">
        <v>320</v>
      </c>
      <c r="F39" s="6" t="s">
        <v>83</v>
      </c>
      <c r="G39" s="6" t="s">
        <v>321</v>
      </c>
      <c r="H39" s="7" t="s">
        <v>322</v>
      </c>
      <c r="I39" s="6" t="s">
        <v>86</v>
      </c>
      <c r="J39" s="6" t="s">
        <v>74</v>
      </c>
      <c r="K39" s="6">
        <v>400</v>
      </c>
      <c r="L39" s="6" t="s">
        <v>107</v>
      </c>
      <c r="M39" s="6" t="s">
        <v>14</v>
      </c>
      <c r="N39" s="6" t="s">
        <v>13</v>
      </c>
      <c r="O39" s="6" t="s">
        <v>39</v>
      </c>
      <c r="P39" s="6" t="s">
        <v>108</v>
      </c>
      <c r="Q39" s="6" t="s">
        <v>206</v>
      </c>
      <c r="R39" s="8">
        <v>1.3</v>
      </c>
      <c r="S39" s="8">
        <v>36.72</v>
      </c>
      <c r="T39" s="8">
        <v>0</v>
      </c>
      <c r="U39" s="8">
        <v>36.72</v>
      </c>
      <c r="V39" s="6" t="s">
        <v>121</v>
      </c>
      <c r="W39" s="6" t="s">
        <v>101</v>
      </c>
    </row>
    <row r="40" spans="1:23">
      <c r="A40" s="6">
        <v>37</v>
      </c>
      <c r="B40" s="7" t="s">
        <v>323</v>
      </c>
      <c r="C40" s="7" t="s">
        <v>121</v>
      </c>
      <c r="D40" s="6" t="s">
        <v>34</v>
      </c>
      <c r="E40" s="6" t="s">
        <v>324</v>
      </c>
      <c r="F40" s="6" t="s">
        <v>70</v>
      </c>
      <c r="G40" s="6" t="s">
        <v>325</v>
      </c>
      <c r="H40" s="7" t="s">
        <v>326</v>
      </c>
      <c r="I40" s="6" t="s">
        <v>73</v>
      </c>
      <c r="J40" s="6" t="s">
        <v>74</v>
      </c>
      <c r="K40" s="6">
        <v>400</v>
      </c>
      <c r="L40" s="6" t="s">
        <v>327</v>
      </c>
      <c r="M40" s="6" t="s">
        <v>8</v>
      </c>
      <c r="N40" s="6" t="s">
        <v>13</v>
      </c>
      <c r="O40" s="6" t="s">
        <v>37</v>
      </c>
      <c r="P40" s="6" t="s">
        <v>157</v>
      </c>
      <c r="Q40" s="6" t="s">
        <v>158</v>
      </c>
      <c r="R40" s="8">
        <v>6.6</v>
      </c>
      <c r="S40" s="8">
        <v>185.15</v>
      </c>
      <c r="T40" s="8">
        <v>0</v>
      </c>
      <c r="U40" s="8">
        <v>185.15</v>
      </c>
      <c r="V40" s="6" t="s">
        <v>121</v>
      </c>
      <c r="W40" s="6" t="s">
        <v>141</v>
      </c>
    </row>
    <row r="41" spans="1:23">
      <c r="A41" s="6">
        <v>38</v>
      </c>
      <c r="B41" s="7" t="s">
        <v>328</v>
      </c>
      <c r="C41" s="7" t="s">
        <v>329</v>
      </c>
      <c r="D41" s="6" t="s">
        <v>42</v>
      </c>
      <c r="E41" s="6" t="s">
        <v>330</v>
      </c>
      <c r="F41" s="6" t="s">
        <v>83</v>
      </c>
      <c r="G41" s="6" t="s">
        <v>331</v>
      </c>
      <c r="H41" s="7" t="s">
        <v>332</v>
      </c>
      <c r="I41" s="6" t="s">
        <v>86</v>
      </c>
      <c r="J41" s="6" t="s">
        <v>125</v>
      </c>
      <c r="K41" s="6">
        <v>60</v>
      </c>
      <c r="L41" s="6" t="s">
        <v>138</v>
      </c>
      <c r="M41" s="6" t="s">
        <v>10</v>
      </c>
      <c r="N41" s="6" t="s">
        <v>11</v>
      </c>
      <c r="O41" s="6" t="s">
        <v>31</v>
      </c>
      <c r="P41" s="6" t="s">
        <v>185</v>
      </c>
      <c r="Q41" s="6" t="s">
        <v>186</v>
      </c>
      <c r="R41" s="8">
        <v>7.4</v>
      </c>
      <c r="S41" s="8">
        <v>189.63</v>
      </c>
      <c r="T41" s="8">
        <v>38.36</v>
      </c>
      <c r="U41" s="8">
        <v>227.99</v>
      </c>
      <c r="V41" s="6" t="s">
        <v>333</v>
      </c>
      <c r="W41" s="6" t="s">
        <v>151</v>
      </c>
    </row>
    <row r="42" spans="1:23">
      <c r="A42" s="6">
        <v>39</v>
      </c>
      <c r="B42" s="7" t="s">
        <v>334</v>
      </c>
      <c r="C42" s="7" t="s">
        <v>335</v>
      </c>
      <c r="D42" s="6" t="s">
        <v>32</v>
      </c>
      <c r="E42" s="6" t="s">
        <v>336</v>
      </c>
      <c r="F42" s="6" t="s">
        <v>83</v>
      </c>
      <c r="G42" s="6" t="s">
        <v>337</v>
      </c>
      <c r="H42" s="7" t="s">
        <v>338</v>
      </c>
      <c r="I42" s="6" t="s">
        <v>86</v>
      </c>
      <c r="J42" s="6" t="s">
        <v>125</v>
      </c>
      <c r="K42" s="6">
        <v>40</v>
      </c>
      <c r="L42" s="6" t="s">
        <v>241</v>
      </c>
      <c r="M42" s="6" t="s">
        <v>12</v>
      </c>
      <c r="N42" s="6" t="s">
        <v>11</v>
      </c>
      <c r="O42" s="6" t="s">
        <v>33</v>
      </c>
      <c r="P42" s="6" t="s">
        <v>157</v>
      </c>
      <c r="Q42" s="6" t="s">
        <v>158</v>
      </c>
      <c r="R42" s="8">
        <v>12.8</v>
      </c>
      <c r="S42" s="8">
        <v>232.98</v>
      </c>
      <c r="T42" s="8">
        <v>32.22</v>
      </c>
      <c r="U42" s="8">
        <v>265.2</v>
      </c>
      <c r="V42" s="6" t="s">
        <v>339</v>
      </c>
      <c r="W42" s="6" t="s">
        <v>110</v>
      </c>
    </row>
    <row r="43" spans="1:23">
      <c r="A43" s="6">
        <v>40</v>
      </c>
      <c r="B43" s="7" t="s">
        <v>340</v>
      </c>
      <c r="C43" s="7" t="s">
        <v>121</v>
      </c>
      <c r="D43" s="6" t="s">
        <v>38</v>
      </c>
      <c r="E43" s="6" t="s">
        <v>341</v>
      </c>
      <c r="F43" s="6" t="s">
        <v>70</v>
      </c>
      <c r="G43" s="6" t="s">
        <v>105</v>
      </c>
      <c r="H43" s="7" t="s">
        <v>342</v>
      </c>
      <c r="I43" s="6" t="s">
        <v>147</v>
      </c>
      <c r="J43" s="6" t="s">
        <v>125</v>
      </c>
      <c r="K43" s="6">
        <v>6</v>
      </c>
      <c r="L43" s="6" t="s">
        <v>327</v>
      </c>
      <c r="M43" s="6" t="s">
        <v>14</v>
      </c>
      <c r="N43" s="6" t="s">
        <v>9</v>
      </c>
      <c r="O43" s="6" t="s">
        <v>21</v>
      </c>
      <c r="P43" s="6" t="s">
        <v>248</v>
      </c>
      <c r="Q43" s="6" t="s">
        <v>249</v>
      </c>
      <c r="R43" s="8">
        <v>3.9</v>
      </c>
      <c r="S43" s="8">
        <v>91.53</v>
      </c>
      <c r="T43" s="8">
        <v>0</v>
      </c>
      <c r="U43" s="8">
        <v>91.53</v>
      </c>
      <c r="V43" s="6" t="s">
        <v>121</v>
      </c>
      <c r="W43" s="6" t="s">
        <v>110</v>
      </c>
    </row>
    <row r="44" spans="1:23">
      <c r="A44" s="6">
        <v>41</v>
      </c>
      <c r="B44" s="7" t="s">
        <v>343</v>
      </c>
      <c r="C44" s="7" t="s">
        <v>121</v>
      </c>
      <c r="D44" s="6" t="s">
        <v>20</v>
      </c>
      <c r="E44" s="6" t="s">
        <v>344</v>
      </c>
      <c r="F44" s="6" t="s">
        <v>345</v>
      </c>
      <c r="G44" s="6" t="s">
        <v>346</v>
      </c>
      <c r="H44" s="7" t="s">
        <v>347</v>
      </c>
      <c r="I44" s="6" t="s">
        <v>147</v>
      </c>
      <c r="J44" s="6" t="s">
        <v>125</v>
      </c>
      <c r="K44" s="6">
        <v>60</v>
      </c>
      <c r="L44" s="6" t="s">
        <v>241</v>
      </c>
      <c r="M44" s="6" t="s">
        <v>8</v>
      </c>
      <c r="N44" s="6" t="s">
        <v>13</v>
      </c>
      <c r="O44" s="6" t="s">
        <v>35</v>
      </c>
      <c r="P44" s="6" t="s">
        <v>128</v>
      </c>
      <c r="Q44" s="6" t="s">
        <v>129</v>
      </c>
      <c r="R44" s="8">
        <v>8.1</v>
      </c>
      <c r="S44" s="8">
        <v>126.49</v>
      </c>
      <c r="T44" s="8">
        <v>0</v>
      </c>
      <c r="U44" s="8">
        <v>126.49</v>
      </c>
      <c r="V44" s="6" t="s">
        <v>121</v>
      </c>
      <c r="W44" s="6" t="s">
        <v>348</v>
      </c>
    </row>
    <row r="45" spans="1:23">
      <c r="A45" s="6">
        <v>42</v>
      </c>
      <c r="B45" s="7" t="s">
        <v>349</v>
      </c>
      <c r="C45" s="7" t="s">
        <v>121</v>
      </c>
      <c r="D45" s="6" t="s">
        <v>28</v>
      </c>
      <c r="E45" s="6" t="s">
        <v>350</v>
      </c>
      <c r="F45" s="6" t="s">
        <v>70</v>
      </c>
      <c r="G45" s="6" t="s">
        <v>351</v>
      </c>
      <c r="H45" s="7" t="s">
        <v>352</v>
      </c>
      <c r="I45" s="6" t="s">
        <v>73</v>
      </c>
      <c r="J45" s="6" t="s">
        <v>74</v>
      </c>
      <c r="K45" s="6">
        <v>600</v>
      </c>
      <c r="L45" s="6" t="s">
        <v>171</v>
      </c>
      <c r="M45" s="6" t="s">
        <v>17</v>
      </c>
      <c r="N45" s="6" t="s">
        <v>11</v>
      </c>
      <c r="O45" s="6" t="s">
        <v>33</v>
      </c>
      <c r="P45" s="6" t="s">
        <v>128</v>
      </c>
      <c r="Q45" s="6" t="s">
        <v>129</v>
      </c>
      <c r="R45" s="8">
        <v>5.9</v>
      </c>
      <c r="S45" s="8">
        <v>207.2</v>
      </c>
      <c r="T45" s="8">
        <v>17.18</v>
      </c>
      <c r="U45" s="8">
        <v>224.38</v>
      </c>
      <c r="V45" s="6" t="s">
        <v>353</v>
      </c>
      <c r="W45" s="6" t="s">
        <v>173</v>
      </c>
    </row>
    <row r="46" spans="1:23">
      <c r="A46" s="6">
        <v>43</v>
      </c>
      <c r="B46" s="7" t="s">
        <v>354</v>
      </c>
      <c r="C46" s="7" t="s">
        <v>355</v>
      </c>
      <c r="D46" s="6" t="s">
        <v>28</v>
      </c>
      <c r="E46" s="6" t="s">
        <v>356</v>
      </c>
      <c r="F46" s="6" t="s">
        <v>83</v>
      </c>
      <c r="G46" s="6" t="s">
        <v>357</v>
      </c>
      <c r="H46" s="7" t="s">
        <v>358</v>
      </c>
      <c r="I46" s="6" t="s">
        <v>86</v>
      </c>
      <c r="J46" s="6" t="s">
        <v>125</v>
      </c>
      <c r="K46" s="6">
        <v>40</v>
      </c>
      <c r="L46" s="6" t="s">
        <v>241</v>
      </c>
      <c r="M46" s="6" t="s">
        <v>8</v>
      </c>
      <c r="N46" s="6" t="s">
        <v>11</v>
      </c>
      <c r="O46" s="6" t="s">
        <v>41</v>
      </c>
      <c r="P46" s="6" t="s">
        <v>185</v>
      </c>
      <c r="Q46" s="6" t="s">
        <v>186</v>
      </c>
      <c r="R46" s="8">
        <v>0.5</v>
      </c>
      <c r="S46" s="8">
        <v>15.97</v>
      </c>
      <c r="T46" s="8">
        <v>0</v>
      </c>
      <c r="U46" s="8">
        <v>15.97</v>
      </c>
      <c r="V46" s="6" t="s">
        <v>121</v>
      </c>
      <c r="W46" s="6" t="s">
        <v>193</v>
      </c>
    </row>
    <row r="47" spans="1:23">
      <c r="A47" s="6">
        <v>44</v>
      </c>
      <c r="B47" s="7" t="s">
        <v>359</v>
      </c>
      <c r="C47" s="7" t="s">
        <v>121</v>
      </c>
      <c r="D47" s="6" t="s">
        <v>20</v>
      </c>
      <c r="E47" s="6" t="s">
        <v>360</v>
      </c>
      <c r="F47" s="6" t="s">
        <v>70</v>
      </c>
      <c r="G47" s="6" t="s">
        <v>361</v>
      </c>
      <c r="H47" s="7" t="s">
        <v>362</v>
      </c>
      <c r="I47" s="6" t="s">
        <v>73</v>
      </c>
      <c r="J47" s="6" t="s">
        <v>125</v>
      </c>
      <c r="K47" s="6">
        <v>6</v>
      </c>
      <c r="L47" s="6" t="s">
        <v>327</v>
      </c>
      <c r="M47" s="6" t="s">
        <v>14</v>
      </c>
      <c r="N47" s="6" t="s">
        <v>11</v>
      </c>
      <c r="O47" s="6" t="s">
        <v>31</v>
      </c>
      <c r="P47" s="6" t="s">
        <v>192</v>
      </c>
      <c r="Q47" s="6" t="s">
        <v>289</v>
      </c>
      <c r="R47" s="8">
        <v>2</v>
      </c>
      <c r="S47" s="8">
        <v>66.02</v>
      </c>
      <c r="T47" s="8">
        <v>0</v>
      </c>
      <c r="U47" s="8">
        <v>66.02</v>
      </c>
      <c r="V47" s="6" t="s">
        <v>121</v>
      </c>
      <c r="W47" s="6" t="s">
        <v>257</v>
      </c>
    </row>
    <row r="48" spans="1:23">
      <c r="A48" s="6">
        <v>45</v>
      </c>
      <c r="B48" s="7" t="s">
        <v>363</v>
      </c>
      <c r="C48" s="7" t="s">
        <v>121</v>
      </c>
      <c r="D48" s="6" t="s">
        <v>32</v>
      </c>
      <c r="E48" s="6" t="s">
        <v>364</v>
      </c>
      <c r="F48" s="6" t="s">
        <v>70</v>
      </c>
      <c r="G48" s="6" t="s">
        <v>365</v>
      </c>
      <c r="H48" s="7" t="s">
        <v>366</v>
      </c>
      <c r="I48" s="6" t="s">
        <v>147</v>
      </c>
      <c r="J48" s="6" t="s">
        <v>87</v>
      </c>
      <c r="K48" s="6">
        <v>4000</v>
      </c>
      <c r="L48" s="6" t="s">
        <v>199</v>
      </c>
      <c r="M48" s="6" t="s">
        <v>12</v>
      </c>
      <c r="N48" s="6" t="s">
        <v>9</v>
      </c>
      <c r="O48" s="6" t="s">
        <v>21</v>
      </c>
      <c r="P48" s="6" t="s">
        <v>178</v>
      </c>
      <c r="Q48" s="6" t="s">
        <v>179</v>
      </c>
      <c r="R48" s="8">
        <v>12.6</v>
      </c>
      <c r="S48" s="8">
        <v>477.89</v>
      </c>
      <c r="T48" s="8">
        <v>23.19</v>
      </c>
      <c r="U48" s="8">
        <v>501.08</v>
      </c>
      <c r="V48" s="6" t="s">
        <v>367</v>
      </c>
      <c r="W48" s="6" t="s">
        <v>368</v>
      </c>
    </row>
    <row r="49" spans="1:23">
      <c r="A49" s="6">
        <v>46</v>
      </c>
      <c r="B49" s="7" t="s">
        <v>369</v>
      </c>
      <c r="C49" s="7" t="s">
        <v>370</v>
      </c>
      <c r="D49" s="6" t="s">
        <v>28</v>
      </c>
      <c r="E49" s="6" t="s">
        <v>371</v>
      </c>
      <c r="F49" s="6" t="s">
        <v>83</v>
      </c>
      <c r="G49" s="6" t="s">
        <v>372</v>
      </c>
      <c r="H49" s="7" t="s">
        <v>373</v>
      </c>
      <c r="I49" s="6" t="s">
        <v>137</v>
      </c>
      <c r="J49" s="6" t="s">
        <v>74</v>
      </c>
      <c r="K49" s="6">
        <v>400</v>
      </c>
      <c r="L49" s="6" t="s">
        <v>138</v>
      </c>
      <c r="M49" s="6" t="s">
        <v>17</v>
      </c>
      <c r="N49" s="6" t="s">
        <v>11</v>
      </c>
      <c r="O49" s="6" t="s">
        <v>33</v>
      </c>
      <c r="P49" s="6" t="s">
        <v>185</v>
      </c>
      <c r="Q49" s="6" t="s">
        <v>186</v>
      </c>
      <c r="R49" s="8">
        <v>0</v>
      </c>
      <c r="S49" s="8">
        <v>2.7</v>
      </c>
      <c r="T49" s="8">
        <v>7.6</v>
      </c>
      <c r="U49" s="8">
        <v>10.3</v>
      </c>
      <c r="V49" s="6" t="s">
        <v>374</v>
      </c>
      <c r="W49" s="6" t="s">
        <v>141</v>
      </c>
    </row>
    <row r="50" spans="1:23">
      <c r="A50" s="6">
        <v>47</v>
      </c>
      <c r="B50" s="7" t="s">
        <v>375</v>
      </c>
      <c r="C50" s="7" t="s">
        <v>121</v>
      </c>
      <c r="D50" s="6" t="s">
        <v>20</v>
      </c>
      <c r="E50" s="6" t="s">
        <v>376</v>
      </c>
      <c r="F50" s="6" t="s">
        <v>70</v>
      </c>
      <c r="G50" s="6" t="s">
        <v>377</v>
      </c>
      <c r="H50" s="7" t="s">
        <v>378</v>
      </c>
      <c r="I50" s="6" t="s">
        <v>73</v>
      </c>
      <c r="J50" s="6" t="s">
        <v>125</v>
      </c>
      <c r="K50" s="6">
        <v>60</v>
      </c>
      <c r="L50" s="6" t="s">
        <v>218</v>
      </c>
      <c r="M50" s="6" t="s">
        <v>12</v>
      </c>
      <c r="N50" s="6" t="s">
        <v>13</v>
      </c>
      <c r="O50" s="6" t="s">
        <v>35</v>
      </c>
      <c r="P50" s="6" t="s">
        <v>192</v>
      </c>
      <c r="Q50" s="6" t="s">
        <v>129</v>
      </c>
      <c r="R50" s="8">
        <v>2.6</v>
      </c>
      <c r="S50" s="8">
        <v>60.59</v>
      </c>
      <c r="T50" s="8">
        <v>34.65</v>
      </c>
      <c r="U50" s="8">
        <v>95.24</v>
      </c>
      <c r="V50" s="6" t="s">
        <v>379</v>
      </c>
      <c r="W50" s="6" t="s">
        <v>131</v>
      </c>
    </row>
    <row r="51" spans="1:23">
      <c r="A51" s="6">
        <v>48</v>
      </c>
      <c r="B51" s="7" t="s">
        <v>380</v>
      </c>
      <c r="C51" s="7" t="s">
        <v>381</v>
      </c>
      <c r="D51" s="6" t="s">
        <v>22</v>
      </c>
      <c r="E51" s="6" t="s">
        <v>382</v>
      </c>
      <c r="F51" s="6" t="s">
        <v>83</v>
      </c>
      <c r="G51" s="6" t="s">
        <v>383</v>
      </c>
      <c r="H51" s="7" t="s">
        <v>384</v>
      </c>
      <c r="I51" s="6" t="s">
        <v>86</v>
      </c>
      <c r="J51" s="6" t="s">
        <v>74</v>
      </c>
      <c r="K51" s="6">
        <v>200</v>
      </c>
      <c r="L51" s="6" t="s">
        <v>126</v>
      </c>
      <c r="M51" s="6" t="s">
        <v>10</v>
      </c>
      <c r="N51" s="6" t="s">
        <v>13</v>
      </c>
      <c r="O51" s="6" t="s">
        <v>39</v>
      </c>
      <c r="P51" s="6" t="s">
        <v>178</v>
      </c>
      <c r="Q51" s="6" t="s">
        <v>179</v>
      </c>
      <c r="R51" s="8">
        <v>10</v>
      </c>
      <c r="S51" s="8">
        <v>265.81</v>
      </c>
      <c r="T51" s="8">
        <v>7.28</v>
      </c>
      <c r="U51" s="8">
        <v>273.08999999999997</v>
      </c>
      <c r="V51" s="6" t="s">
        <v>385</v>
      </c>
      <c r="W51" s="6" t="s">
        <v>317</v>
      </c>
    </row>
    <row r="52" spans="1:23">
      <c r="A52" s="6">
        <v>49</v>
      </c>
      <c r="B52" s="7" t="s">
        <v>386</v>
      </c>
      <c r="C52" s="7" t="s">
        <v>121</v>
      </c>
      <c r="D52" s="6" t="s">
        <v>20</v>
      </c>
      <c r="E52" s="6" t="s">
        <v>387</v>
      </c>
      <c r="F52" s="6" t="s">
        <v>83</v>
      </c>
      <c r="G52" s="6" t="s">
        <v>388</v>
      </c>
      <c r="H52" s="7" t="s">
        <v>389</v>
      </c>
      <c r="I52" s="6" t="s">
        <v>73</v>
      </c>
      <c r="J52" s="6" t="s">
        <v>74</v>
      </c>
      <c r="K52" s="6">
        <v>400</v>
      </c>
      <c r="L52" s="6" t="s">
        <v>97</v>
      </c>
      <c r="M52" s="6" t="s">
        <v>12</v>
      </c>
      <c r="N52" s="6" t="s">
        <v>11</v>
      </c>
      <c r="O52" s="6" t="s">
        <v>41</v>
      </c>
      <c r="P52" s="6" t="s">
        <v>277</v>
      </c>
      <c r="Q52" s="6" t="s">
        <v>149</v>
      </c>
      <c r="R52" s="8">
        <v>11.1</v>
      </c>
      <c r="S52" s="8">
        <v>375.48</v>
      </c>
      <c r="T52" s="8">
        <v>12.06</v>
      </c>
      <c r="U52" s="8">
        <v>387.54</v>
      </c>
      <c r="V52" s="6" t="s">
        <v>390</v>
      </c>
      <c r="W52" s="6" t="s">
        <v>391</v>
      </c>
    </row>
    <row r="53" spans="1:23" ht="22.35">
      <c r="A53" s="6">
        <v>50</v>
      </c>
      <c r="B53" s="7" t="s">
        <v>392</v>
      </c>
      <c r="C53" s="7" t="s">
        <v>121</v>
      </c>
      <c r="D53" s="6" t="s">
        <v>26</v>
      </c>
      <c r="E53" s="6" t="s">
        <v>393</v>
      </c>
      <c r="F53" s="6" t="s">
        <v>70</v>
      </c>
      <c r="G53" s="6" t="s">
        <v>394</v>
      </c>
      <c r="H53" s="7" t="s">
        <v>395</v>
      </c>
      <c r="I53" s="6" t="s">
        <v>396</v>
      </c>
      <c r="J53" s="6" t="s">
        <v>74</v>
      </c>
      <c r="K53" s="6">
        <v>400</v>
      </c>
      <c r="L53" s="6" t="s">
        <v>327</v>
      </c>
      <c r="M53" s="6" t="s">
        <v>16</v>
      </c>
      <c r="N53" s="6" t="s">
        <v>11</v>
      </c>
      <c r="O53" s="6" t="s">
        <v>43</v>
      </c>
      <c r="P53" s="6" t="s">
        <v>157</v>
      </c>
      <c r="Q53" s="6" t="s">
        <v>158</v>
      </c>
      <c r="R53" s="8">
        <v>0</v>
      </c>
      <c r="S53" s="8">
        <v>4.3899999999999997</v>
      </c>
      <c r="T53" s="8">
        <v>0</v>
      </c>
      <c r="U53" s="8">
        <v>4.3899999999999997</v>
      </c>
      <c r="V53" s="6" t="s">
        <v>121</v>
      </c>
      <c r="W53" s="6" t="s">
        <v>397</v>
      </c>
    </row>
    <row r="54" spans="1:23">
      <c r="A54" s="6">
        <v>51</v>
      </c>
      <c r="B54" s="7" t="s">
        <v>398</v>
      </c>
      <c r="C54" s="7" t="s">
        <v>121</v>
      </c>
      <c r="D54" s="6" t="s">
        <v>34</v>
      </c>
      <c r="E54" s="6" t="s">
        <v>399</v>
      </c>
      <c r="F54" s="6" t="s">
        <v>70</v>
      </c>
      <c r="G54" s="6" t="s">
        <v>400</v>
      </c>
      <c r="H54" s="7" t="s">
        <v>401</v>
      </c>
      <c r="I54" s="6" t="s">
        <v>73</v>
      </c>
      <c r="J54" s="6" t="s">
        <v>125</v>
      </c>
      <c r="K54" s="6">
        <v>40</v>
      </c>
      <c r="L54" s="6" t="s">
        <v>138</v>
      </c>
      <c r="M54" s="6" t="s">
        <v>8</v>
      </c>
      <c r="N54" s="6" t="s">
        <v>9</v>
      </c>
      <c r="O54" s="6" t="s">
        <v>21</v>
      </c>
      <c r="P54" s="6" t="s">
        <v>256</v>
      </c>
      <c r="Q54" s="6" t="s">
        <v>149</v>
      </c>
      <c r="R54" s="8">
        <v>8.6</v>
      </c>
      <c r="S54" s="8">
        <v>97.64</v>
      </c>
      <c r="T54" s="8">
        <v>0</v>
      </c>
      <c r="U54" s="8">
        <v>97.64</v>
      </c>
      <c r="V54" s="6" t="s">
        <v>121</v>
      </c>
      <c r="W54" s="6" t="s">
        <v>397</v>
      </c>
    </row>
    <row r="55" spans="1:23">
      <c r="A55" s="6">
        <v>52</v>
      </c>
      <c r="B55" s="7" t="s">
        <v>402</v>
      </c>
      <c r="C55" s="7" t="s">
        <v>121</v>
      </c>
      <c r="D55" s="6" t="s">
        <v>38</v>
      </c>
      <c r="E55" s="6" t="s">
        <v>403</v>
      </c>
      <c r="F55" s="6" t="s">
        <v>83</v>
      </c>
      <c r="G55" s="6" t="s">
        <v>216</v>
      </c>
      <c r="H55" s="7" t="s">
        <v>404</v>
      </c>
      <c r="I55" s="6" t="s">
        <v>86</v>
      </c>
      <c r="J55" s="6" t="s">
        <v>125</v>
      </c>
      <c r="K55" s="6">
        <v>40</v>
      </c>
      <c r="L55" s="6" t="s">
        <v>171</v>
      </c>
      <c r="M55" s="6" t="s">
        <v>14</v>
      </c>
      <c r="N55" s="6" t="s">
        <v>11</v>
      </c>
      <c r="O55" s="6" t="s">
        <v>41</v>
      </c>
      <c r="P55" s="6" t="s">
        <v>99</v>
      </c>
      <c r="Q55" s="6" t="s">
        <v>139</v>
      </c>
      <c r="R55" s="8">
        <v>1.6</v>
      </c>
      <c r="S55" s="8">
        <v>60.91</v>
      </c>
      <c r="T55" s="8">
        <v>0</v>
      </c>
      <c r="U55" s="8">
        <v>60.91</v>
      </c>
      <c r="V55" s="6" t="s">
        <v>121</v>
      </c>
      <c r="W55" s="6" t="s">
        <v>219</v>
      </c>
    </row>
    <row r="56" spans="1:23">
      <c r="A56" s="6">
        <v>53</v>
      </c>
      <c r="B56" s="7" t="s">
        <v>405</v>
      </c>
      <c r="C56" s="7" t="s">
        <v>121</v>
      </c>
      <c r="D56" s="6" t="s">
        <v>22</v>
      </c>
      <c r="E56" s="6" t="s">
        <v>406</v>
      </c>
      <c r="F56" s="6" t="s">
        <v>83</v>
      </c>
      <c r="G56" s="6" t="s">
        <v>407</v>
      </c>
      <c r="H56" s="7" t="s">
        <v>408</v>
      </c>
      <c r="I56" s="6" t="s">
        <v>137</v>
      </c>
      <c r="J56" s="6" t="s">
        <v>74</v>
      </c>
      <c r="K56" s="6">
        <v>400</v>
      </c>
      <c r="L56" s="6" t="s">
        <v>116</v>
      </c>
      <c r="M56" s="6" t="s">
        <v>17</v>
      </c>
      <c r="N56" s="6" t="s">
        <v>9</v>
      </c>
      <c r="O56" s="6" t="s">
        <v>25</v>
      </c>
      <c r="P56" s="6" t="s">
        <v>200</v>
      </c>
      <c r="Q56" s="6" t="s">
        <v>129</v>
      </c>
      <c r="R56" s="8">
        <v>0</v>
      </c>
      <c r="S56" s="8">
        <v>2.73</v>
      </c>
      <c r="T56" s="8">
        <v>39.82</v>
      </c>
      <c r="U56" s="8">
        <v>42.55</v>
      </c>
      <c r="V56" s="6" t="s">
        <v>409</v>
      </c>
      <c r="W56" s="6" t="s">
        <v>410</v>
      </c>
    </row>
    <row r="57" spans="1:23">
      <c r="A57" s="6">
        <v>54</v>
      </c>
      <c r="B57" s="7" t="s">
        <v>411</v>
      </c>
      <c r="C57" s="7" t="s">
        <v>121</v>
      </c>
      <c r="D57" s="6" t="s">
        <v>24</v>
      </c>
      <c r="E57" s="6" t="s">
        <v>412</v>
      </c>
      <c r="F57" s="6" t="s">
        <v>70</v>
      </c>
      <c r="G57" s="6" t="s">
        <v>413</v>
      </c>
      <c r="H57" s="7" t="s">
        <v>414</v>
      </c>
      <c r="I57" s="6" t="s">
        <v>86</v>
      </c>
      <c r="J57" s="6" t="s">
        <v>125</v>
      </c>
      <c r="K57" s="6">
        <v>60</v>
      </c>
      <c r="L57" s="6" t="s">
        <v>171</v>
      </c>
      <c r="M57" s="6" t="s">
        <v>14</v>
      </c>
      <c r="N57" s="6" t="s">
        <v>9</v>
      </c>
      <c r="O57" s="6" t="s">
        <v>27</v>
      </c>
      <c r="P57" s="6" t="s">
        <v>192</v>
      </c>
      <c r="Q57" s="6" t="s">
        <v>129</v>
      </c>
      <c r="R57" s="8">
        <v>2.1</v>
      </c>
      <c r="S57" s="8">
        <v>74.72</v>
      </c>
      <c r="T57" s="8">
        <v>0</v>
      </c>
      <c r="U57" s="8">
        <v>74.72</v>
      </c>
      <c r="V57" s="6" t="s">
        <v>121</v>
      </c>
      <c r="W57" s="6" t="s">
        <v>91</v>
      </c>
    </row>
    <row r="58" spans="1:23">
      <c r="A58" s="6">
        <v>55</v>
      </c>
      <c r="B58" s="7" t="s">
        <v>415</v>
      </c>
      <c r="C58" s="7" t="s">
        <v>416</v>
      </c>
      <c r="D58" s="6" t="s">
        <v>22</v>
      </c>
      <c r="E58" s="6" t="s">
        <v>417</v>
      </c>
      <c r="F58" s="6" t="s">
        <v>83</v>
      </c>
      <c r="G58" s="6" t="s">
        <v>418</v>
      </c>
      <c r="H58" s="7" t="s">
        <v>419</v>
      </c>
      <c r="I58" s="6" t="s">
        <v>147</v>
      </c>
      <c r="J58" s="6" t="s">
        <v>125</v>
      </c>
      <c r="K58" s="6">
        <v>6</v>
      </c>
      <c r="L58" s="6" t="s">
        <v>116</v>
      </c>
      <c r="M58" s="6" t="s">
        <v>14</v>
      </c>
      <c r="N58" s="6" t="s">
        <v>9</v>
      </c>
      <c r="O58" s="6" t="s">
        <v>21</v>
      </c>
      <c r="P58" s="6" t="s">
        <v>128</v>
      </c>
      <c r="Q58" s="6" t="s">
        <v>129</v>
      </c>
      <c r="R58" s="8">
        <v>0.8</v>
      </c>
      <c r="S58" s="8">
        <v>32.47</v>
      </c>
      <c r="T58" s="8">
        <v>0</v>
      </c>
      <c r="U58" s="8">
        <v>32.47</v>
      </c>
      <c r="V58" s="6" t="s">
        <v>121</v>
      </c>
      <c r="W58" s="6" t="s">
        <v>420</v>
      </c>
    </row>
    <row r="59" spans="1:23">
      <c r="A59" s="6">
        <v>56</v>
      </c>
      <c r="B59" s="7" t="s">
        <v>421</v>
      </c>
      <c r="C59" s="7" t="s">
        <v>121</v>
      </c>
      <c r="D59" s="6" t="s">
        <v>38</v>
      </c>
      <c r="E59" s="6" t="s">
        <v>422</v>
      </c>
      <c r="F59" s="6" t="s">
        <v>70</v>
      </c>
      <c r="G59" s="6" t="s">
        <v>423</v>
      </c>
      <c r="H59" s="7" t="s">
        <v>424</v>
      </c>
      <c r="I59" s="6" t="s">
        <v>86</v>
      </c>
      <c r="J59" s="6" t="s">
        <v>125</v>
      </c>
      <c r="K59" s="6">
        <v>6</v>
      </c>
      <c r="L59" s="6" t="s">
        <v>107</v>
      </c>
      <c r="M59" s="6" t="s">
        <v>10</v>
      </c>
      <c r="N59" s="6" t="s">
        <v>13</v>
      </c>
      <c r="O59" s="6" t="s">
        <v>425</v>
      </c>
      <c r="P59" s="6" t="s">
        <v>117</v>
      </c>
      <c r="Q59" s="6" t="s">
        <v>426</v>
      </c>
      <c r="R59" s="8">
        <v>9.3000000000000007</v>
      </c>
      <c r="S59" s="8">
        <v>251.02</v>
      </c>
      <c r="T59" s="8">
        <v>12.46</v>
      </c>
      <c r="U59" s="8">
        <v>263.48</v>
      </c>
      <c r="V59" s="6" t="s">
        <v>427</v>
      </c>
      <c r="W59" s="6" t="s">
        <v>110</v>
      </c>
    </row>
    <row r="60" spans="1:23">
      <c r="A60" s="6">
        <v>57</v>
      </c>
      <c r="B60" s="7" t="s">
        <v>428</v>
      </c>
      <c r="C60" s="7" t="s">
        <v>429</v>
      </c>
      <c r="D60" s="6" t="s">
        <v>22</v>
      </c>
      <c r="E60" s="6" t="s">
        <v>430</v>
      </c>
      <c r="F60" s="6" t="s">
        <v>83</v>
      </c>
      <c r="G60" s="6" t="s">
        <v>431</v>
      </c>
      <c r="H60" s="7" t="s">
        <v>432</v>
      </c>
      <c r="I60" s="6" t="s">
        <v>86</v>
      </c>
      <c r="J60" s="6" t="s">
        <v>125</v>
      </c>
      <c r="K60" s="6">
        <v>60</v>
      </c>
      <c r="L60" s="6" t="s">
        <v>171</v>
      </c>
      <c r="M60" s="6" t="s">
        <v>8</v>
      </c>
      <c r="N60" s="6" t="s">
        <v>9</v>
      </c>
      <c r="O60" s="6" t="s">
        <v>25</v>
      </c>
      <c r="P60" s="6" t="s">
        <v>433</v>
      </c>
      <c r="Q60" s="6" t="s">
        <v>434</v>
      </c>
      <c r="R60" s="8">
        <v>7.2</v>
      </c>
      <c r="S60" s="8">
        <v>283.87</v>
      </c>
      <c r="T60" s="8">
        <v>0</v>
      </c>
      <c r="U60" s="8">
        <v>283.87</v>
      </c>
      <c r="V60" s="6" t="s">
        <v>121</v>
      </c>
      <c r="W60" s="6" t="s">
        <v>141</v>
      </c>
    </row>
    <row r="61" spans="1:23">
      <c r="A61" s="6">
        <v>58</v>
      </c>
      <c r="B61" s="7" t="s">
        <v>435</v>
      </c>
      <c r="C61" s="7" t="s">
        <v>121</v>
      </c>
      <c r="D61" s="6" t="s">
        <v>24</v>
      </c>
      <c r="E61" s="6" t="s">
        <v>436</v>
      </c>
      <c r="F61" s="6" t="s">
        <v>83</v>
      </c>
      <c r="G61" s="6" t="s">
        <v>437</v>
      </c>
      <c r="H61" s="7" t="s">
        <v>438</v>
      </c>
      <c r="I61" s="6" t="s">
        <v>86</v>
      </c>
      <c r="J61" s="6" t="s">
        <v>74</v>
      </c>
      <c r="K61" s="6">
        <v>200</v>
      </c>
      <c r="L61" s="6" t="s">
        <v>327</v>
      </c>
      <c r="M61" s="6" t="s">
        <v>12</v>
      </c>
      <c r="N61" s="6" t="s">
        <v>11</v>
      </c>
      <c r="O61" s="6" t="s">
        <v>31</v>
      </c>
      <c r="P61" s="6" t="s">
        <v>256</v>
      </c>
      <c r="Q61" s="6" t="s">
        <v>149</v>
      </c>
      <c r="R61" s="8">
        <v>8.6</v>
      </c>
      <c r="S61" s="8">
        <v>159.38</v>
      </c>
      <c r="T61" s="8">
        <v>40.39</v>
      </c>
      <c r="U61" s="8">
        <v>199.77</v>
      </c>
      <c r="V61" s="6" t="s">
        <v>439</v>
      </c>
      <c r="W61" s="6" t="s">
        <v>368</v>
      </c>
    </row>
    <row r="62" spans="1:23" ht="22.35">
      <c r="A62" s="6">
        <v>59</v>
      </c>
      <c r="B62" s="7" t="s">
        <v>440</v>
      </c>
      <c r="C62" s="7" t="s">
        <v>121</v>
      </c>
      <c r="D62" s="6" t="s">
        <v>42</v>
      </c>
      <c r="E62" s="6" t="s">
        <v>441</v>
      </c>
      <c r="F62" s="6" t="s">
        <v>83</v>
      </c>
      <c r="G62" s="6" t="s">
        <v>442</v>
      </c>
      <c r="H62" s="7" t="s">
        <v>443</v>
      </c>
      <c r="I62" s="6" t="s">
        <v>147</v>
      </c>
      <c r="J62" s="6" t="s">
        <v>125</v>
      </c>
      <c r="K62" s="6">
        <v>6</v>
      </c>
      <c r="L62" s="6" t="s">
        <v>75</v>
      </c>
      <c r="M62" s="6" t="s">
        <v>16</v>
      </c>
      <c r="N62" s="6" t="s">
        <v>9</v>
      </c>
      <c r="O62" s="6" t="s">
        <v>21</v>
      </c>
      <c r="P62" s="6" t="s">
        <v>185</v>
      </c>
      <c r="Q62" s="6" t="s">
        <v>186</v>
      </c>
      <c r="R62" s="8">
        <v>7</v>
      </c>
      <c r="S62" s="8">
        <v>149.58000000000001</v>
      </c>
      <c r="T62" s="8">
        <v>0</v>
      </c>
      <c r="U62" s="8">
        <v>149.58000000000001</v>
      </c>
      <c r="V62" s="6" t="s">
        <v>121</v>
      </c>
      <c r="W62" s="6" t="s">
        <v>444</v>
      </c>
    </row>
    <row r="63" spans="1:23">
      <c r="A63" s="6">
        <v>60</v>
      </c>
      <c r="B63" s="7" t="s">
        <v>445</v>
      </c>
      <c r="C63" s="7" t="s">
        <v>121</v>
      </c>
      <c r="D63" s="6" t="s">
        <v>20</v>
      </c>
      <c r="E63" s="6" t="s">
        <v>446</v>
      </c>
      <c r="F63" s="6" t="s">
        <v>70</v>
      </c>
      <c r="G63" s="6" t="s">
        <v>447</v>
      </c>
      <c r="H63" s="7" t="s">
        <v>448</v>
      </c>
      <c r="I63" s="6" t="s">
        <v>86</v>
      </c>
      <c r="J63" s="6" t="s">
        <v>87</v>
      </c>
      <c r="K63" s="6">
        <v>2000</v>
      </c>
      <c r="L63" s="6" t="s">
        <v>171</v>
      </c>
      <c r="M63" s="6" t="s">
        <v>12</v>
      </c>
      <c r="N63" s="6" t="s">
        <v>11</v>
      </c>
      <c r="O63" s="6" t="s">
        <v>31</v>
      </c>
      <c r="P63" s="6" t="s">
        <v>256</v>
      </c>
      <c r="Q63" s="6" t="s">
        <v>149</v>
      </c>
      <c r="R63" s="8">
        <v>5.9</v>
      </c>
      <c r="S63" s="8">
        <v>69.72</v>
      </c>
      <c r="T63" s="8">
        <v>8.42</v>
      </c>
      <c r="U63" s="8">
        <v>78.14</v>
      </c>
      <c r="V63" s="6" t="s">
        <v>449</v>
      </c>
      <c r="W63" s="6" t="s">
        <v>410</v>
      </c>
    </row>
    <row r="64" spans="1:23">
      <c r="A64" s="6">
        <v>61</v>
      </c>
      <c r="B64" s="7" t="s">
        <v>450</v>
      </c>
      <c r="C64" s="7" t="s">
        <v>451</v>
      </c>
      <c r="D64" s="6" t="s">
        <v>22</v>
      </c>
      <c r="E64" s="6" t="s">
        <v>452</v>
      </c>
      <c r="F64" s="6" t="s">
        <v>83</v>
      </c>
      <c r="G64" s="6" t="s">
        <v>453</v>
      </c>
      <c r="H64" s="7" t="s">
        <v>454</v>
      </c>
      <c r="I64" s="6" t="s">
        <v>137</v>
      </c>
      <c r="J64" s="6" t="s">
        <v>74</v>
      </c>
      <c r="K64" s="6">
        <v>600</v>
      </c>
      <c r="L64" s="6" t="s">
        <v>199</v>
      </c>
      <c r="M64" s="6" t="s">
        <v>12</v>
      </c>
      <c r="N64" s="6" t="s">
        <v>9</v>
      </c>
      <c r="O64" s="6" t="s">
        <v>33</v>
      </c>
      <c r="P64" s="6" t="s">
        <v>192</v>
      </c>
      <c r="Q64" s="6" t="s">
        <v>129</v>
      </c>
      <c r="R64" s="8">
        <v>0</v>
      </c>
      <c r="S64" s="8">
        <v>4.0999999999999996</v>
      </c>
      <c r="T64" s="8">
        <v>27.08</v>
      </c>
      <c r="U64" s="8">
        <v>31.18</v>
      </c>
      <c r="V64" s="6" t="s">
        <v>455</v>
      </c>
      <c r="W64" s="6" t="s">
        <v>263</v>
      </c>
    </row>
    <row r="65" spans="1:23">
      <c r="A65" s="6">
        <v>62</v>
      </c>
      <c r="B65" s="7" t="s">
        <v>456</v>
      </c>
      <c r="C65" s="7" t="s">
        <v>121</v>
      </c>
      <c r="D65" s="6" t="s">
        <v>22</v>
      </c>
      <c r="E65" s="6" t="s">
        <v>457</v>
      </c>
      <c r="F65" s="6" t="s">
        <v>70</v>
      </c>
      <c r="G65" s="6" t="s">
        <v>458</v>
      </c>
      <c r="H65" s="7" t="s">
        <v>459</v>
      </c>
      <c r="I65" s="6" t="s">
        <v>73</v>
      </c>
      <c r="J65" s="6" t="s">
        <v>125</v>
      </c>
      <c r="K65" s="6">
        <v>60</v>
      </c>
      <c r="L65" s="6" t="s">
        <v>267</v>
      </c>
      <c r="M65" s="6" t="s">
        <v>8</v>
      </c>
      <c r="N65" s="6" t="s">
        <v>9</v>
      </c>
      <c r="O65" s="6" t="s">
        <v>25</v>
      </c>
      <c r="P65" s="6" t="s">
        <v>178</v>
      </c>
      <c r="Q65" s="6" t="s">
        <v>179</v>
      </c>
      <c r="R65" s="8">
        <v>7.8</v>
      </c>
      <c r="S65" s="8">
        <v>188.85</v>
      </c>
      <c r="T65" s="8">
        <v>0</v>
      </c>
      <c r="U65" s="8">
        <v>188.85</v>
      </c>
      <c r="V65" s="6" t="s">
        <v>121</v>
      </c>
      <c r="W65" s="6" t="s">
        <v>460</v>
      </c>
    </row>
    <row r="66" spans="1:23">
      <c r="A66" s="6">
        <v>63</v>
      </c>
      <c r="B66" s="7" t="s">
        <v>461</v>
      </c>
      <c r="C66" s="7" t="s">
        <v>121</v>
      </c>
      <c r="D66" s="6" t="s">
        <v>32</v>
      </c>
      <c r="E66" s="6" t="s">
        <v>462</v>
      </c>
      <c r="F66" s="6" t="s">
        <v>345</v>
      </c>
      <c r="G66" s="6" t="s">
        <v>463</v>
      </c>
      <c r="H66" s="7" t="s">
        <v>464</v>
      </c>
      <c r="I66" s="6" t="s">
        <v>86</v>
      </c>
      <c r="J66" s="6" t="s">
        <v>125</v>
      </c>
      <c r="K66" s="6">
        <v>6</v>
      </c>
      <c r="L66" s="6" t="s">
        <v>171</v>
      </c>
      <c r="M66" s="6" t="s">
        <v>14</v>
      </c>
      <c r="N66" s="6" t="s">
        <v>11</v>
      </c>
      <c r="O66" s="6" t="s">
        <v>31</v>
      </c>
      <c r="P66" s="6" t="s">
        <v>256</v>
      </c>
      <c r="Q66" s="6" t="s">
        <v>149</v>
      </c>
      <c r="R66" s="8">
        <v>1.2</v>
      </c>
      <c r="S66" s="8">
        <v>41.85</v>
      </c>
      <c r="T66" s="8">
        <v>0</v>
      </c>
      <c r="U66" s="8">
        <v>41.85</v>
      </c>
      <c r="V66" s="6" t="s">
        <v>121</v>
      </c>
      <c r="W66" s="6" t="s">
        <v>219</v>
      </c>
    </row>
    <row r="67" spans="1:23">
      <c r="A67" s="6">
        <v>64</v>
      </c>
      <c r="B67" s="7" t="s">
        <v>465</v>
      </c>
      <c r="C67" s="7" t="s">
        <v>121</v>
      </c>
      <c r="D67" s="6" t="s">
        <v>34</v>
      </c>
      <c r="E67" s="6" t="s">
        <v>466</v>
      </c>
      <c r="F67" s="6" t="s">
        <v>70</v>
      </c>
      <c r="G67" s="6" t="s">
        <v>467</v>
      </c>
      <c r="H67" s="7" t="s">
        <v>468</v>
      </c>
      <c r="I67" s="6" t="s">
        <v>73</v>
      </c>
      <c r="J67" s="6" t="s">
        <v>74</v>
      </c>
      <c r="K67" s="6">
        <v>600</v>
      </c>
      <c r="L67" s="6" t="s">
        <v>199</v>
      </c>
      <c r="M67" s="6" t="s">
        <v>10</v>
      </c>
      <c r="N67" s="6" t="s">
        <v>9</v>
      </c>
      <c r="O67" s="6" t="s">
        <v>27</v>
      </c>
      <c r="P67" s="6" t="s">
        <v>128</v>
      </c>
      <c r="Q67" s="6" t="s">
        <v>129</v>
      </c>
      <c r="R67" s="8">
        <v>11.1</v>
      </c>
      <c r="S67" s="8">
        <v>269.32</v>
      </c>
      <c r="T67" s="8">
        <v>4.16</v>
      </c>
      <c r="U67" s="8">
        <v>273.48</v>
      </c>
      <c r="V67" s="6" t="s">
        <v>281</v>
      </c>
      <c r="W67" s="6" t="s">
        <v>173</v>
      </c>
    </row>
    <row r="68" spans="1:23">
      <c r="A68" s="6">
        <v>65</v>
      </c>
      <c r="B68" s="7" t="s">
        <v>469</v>
      </c>
      <c r="C68" s="7" t="s">
        <v>121</v>
      </c>
      <c r="D68" s="6" t="s">
        <v>20</v>
      </c>
      <c r="E68" s="6" t="s">
        <v>470</v>
      </c>
      <c r="F68" s="6" t="s">
        <v>70</v>
      </c>
      <c r="G68" s="6" t="s">
        <v>449</v>
      </c>
      <c r="H68" s="7" t="s">
        <v>471</v>
      </c>
      <c r="I68" s="6" t="s">
        <v>86</v>
      </c>
      <c r="J68" s="6" t="s">
        <v>74</v>
      </c>
      <c r="K68" s="6">
        <v>600</v>
      </c>
      <c r="L68" s="6" t="s">
        <v>126</v>
      </c>
      <c r="M68" s="6" t="s">
        <v>8</v>
      </c>
      <c r="N68" s="6" t="s">
        <v>9</v>
      </c>
      <c r="O68" s="6" t="s">
        <v>21</v>
      </c>
      <c r="P68" s="6" t="s">
        <v>108</v>
      </c>
      <c r="Q68" s="6" t="s">
        <v>206</v>
      </c>
      <c r="R68" s="8">
        <v>16.899999999999999</v>
      </c>
      <c r="S68" s="8">
        <v>428.84</v>
      </c>
      <c r="T68" s="8">
        <v>0</v>
      </c>
      <c r="U68" s="8">
        <v>428.84</v>
      </c>
      <c r="V68" s="6" t="s">
        <v>121</v>
      </c>
      <c r="W68" s="6" t="s">
        <v>257</v>
      </c>
    </row>
    <row r="69" spans="1:23" ht="22.35">
      <c r="A69" s="6">
        <v>66</v>
      </c>
      <c r="B69" s="7" t="s">
        <v>472</v>
      </c>
      <c r="C69" s="7" t="s">
        <v>121</v>
      </c>
      <c r="D69" s="6" t="s">
        <v>38</v>
      </c>
      <c r="E69" s="6" t="s">
        <v>473</v>
      </c>
      <c r="F69" s="6" t="s">
        <v>70</v>
      </c>
      <c r="G69" s="6" t="s">
        <v>474</v>
      </c>
      <c r="H69" s="7" t="s">
        <v>475</v>
      </c>
      <c r="I69" s="6" t="s">
        <v>137</v>
      </c>
      <c r="J69" s="6" t="s">
        <v>125</v>
      </c>
      <c r="K69" s="6">
        <v>60</v>
      </c>
      <c r="L69" s="6" t="s">
        <v>171</v>
      </c>
      <c r="M69" s="6" t="s">
        <v>16</v>
      </c>
      <c r="N69" s="6" t="s">
        <v>9</v>
      </c>
      <c r="O69" s="6" t="s">
        <v>25</v>
      </c>
      <c r="P69" s="6" t="s">
        <v>433</v>
      </c>
      <c r="Q69" s="6" t="s">
        <v>434</v>
      </c>
      <c r="R69" s="8">
        <v>0</v>
      </c>
      <c r="S69" s="8">
        <v>0.02</v>
      </c>
      <c r="T69" s="8">
        <v>0</v>
      </c>
      <c r="U69" s="8">
        <v>0.02</v>
      </c>
      <c r="V69" s="6" t="s">
        <v>121</v>
      </c>
      <c r="W69" s="6" t="s">
        <v>151</v>
      </c>
    </row>
    <row r="70" spans="1:23">
      <c r="A70" s="6">
        <v>67</v>
      </c>
      <c r="B70" s="7" t="s">
        <v>476</v>
      </c>
      <c r="C70" s="7" t="s">
        <v>477</v>
      </c>
      <c r="D70" s="6" t="s">
        <v>24</v>
      </c>
      <c r="E70" s="6" t="s">
        <v>478</v>
      </c>
      <c r="F70" s="6" t="s">
        <v>83</v>
      </c>
      <c r="G70" s="6" t="s">
        <v>479</v>
      </c>
      <c r="H70" s="7" t="s">
        <v>480</v>
      </c>
      <c r="I70" s="6" t="s">
        <v>73</v>
      </c>
      <c r="J70" s="6" t="s">
        <v>74</v>
      </c>
      <c r="K70" s="6">
        <v>200</v>
      </c>
      <c r="L70" s="6" t="s">
        <v>116</v>
      </c>
      <c r="M70" s="6" t="s">
        <v>10</v>
      </c>
      <c r="N70" s="6" t="s">
        <v>9</v>
      </c>
      <c r="O70" s="6" t="s">
        <v>29</v>
      </c>
      <c r="P70" s="6" t="s">
        <v>76</v>
      </c>
      <c r="Q70" s="6" t="s">
        <v>149</v>
      </c>
      <c r="R70" s="8">
        <v>14.9</v>
      </c>
      <c r="S70" s="8">
        <v>238.73</v>
      </c>
      <c r="T70" s="8">
        <v>22.19</v>
      </c>
      <c r="U70" s="8">
        <v>260.92</v>
      </c>
      <c r="V70" s="6" t="s">
        <v>481</v>
      </c>
      <c r="W70" s="6" t="s">
        <v>207</v>
      </c>
    </row>
    <row r="71" spans="1:23">
      <c r="A71" s="6">
        <v>68</v>
      </c>
      <c r="B71" s="7" t="s">
        <v>482</v>
      </c>
      <c r="C71" s="7" t="s">
        <v>121</v>
      </c>
      <c r="D71" s="6" t="s">
        <v>34</v>
      </c>
      <c r="E71" s="6" t="s">
        <v>483</v>
      </c>
      <c r="F71" s="6" t="s">
        <v>83</v>
      </c>
      <c r="G71" s="6" t="s">
        <v>431</v>
      </c>
      <c r="H71" s="7" t="s">
        <v>484</v>
      </c>
      <c r="I71" s="6" t="s">
        <v>73</v>
      </c>
      <c r="J71" s="6" t="s">
        <v>125</v>
      </c>
      <c r="K71" s="6">
        <v>6</v>
      </c>
      <c r="L71" s="6" t="s">
        <v>327</v>
      </c>
      <c r="M71" s="6" t="s">
        <v>8</v>
      </c>
      <c r="N71" s="6" t="s">
        <v>13</v>
      </c>
      <c r="O71" s="6" t="s">
        <v>425</v>
      </c>
      <c r="P71" s="6" t="s">
        <v>185</v>
      </c>
      <c r="Q71" s="6" t="s">
        <v>186</v>
      </c>
      <c r="R71" s="8">
        <v>8</v>
      </c>
      <c r="S71" s="8">
        <v>90.86</v>
      </c>
      <c r="T71" s="8">
        <v>0</v>
      </c>
      <c r="U71" s="8">
        <v>90.86</v>
      </c>
      <c r="V71" s="6" t="s">
        <v>121</v>
      </c>
      <c r="W71" s="6" t="s">
        <v>141</v>
      </c>
    </row>
    <row r="72" spans="1:23">
      <c r="A72" s="6">
        <v>69</v>
      </c>
      <c r="B72" s="7" t="s">
        <v>485</v>
      </c>
      <c r="C72" s="7" t="s">
        <v>121</v>
      </c>
      <c r="D72" s="6" t="s">
        <v>32</v>
      </c>
      <c r="E72" s="6" t="s">
        <v>486</v>
      </c>
      <c r="F72" s="6" t="s">
        <v>83</v>
      </c>
      <c r="G72" s="6" t="s">
        <v>487</v>
      </c>
      <c r="H72" s="7" t="s">
        <v>488</v>
      </c>
      <c r="I72" s="6" t="s">
        <v>73</v>
      </c>
      <c r="J72" s="6" t="s">
        <v>125</v>
      </c>
      <c r="K72" s="6">
        <v>60</v>
      </c>
      <c r="L72" s="6" t="s">
        <v>327</v>
      </c>
      <c r="M72" s="6" t="s">
        <v>10</v>
      </c>
      <c r="N72" s="6" t="s">
        <v>13</v>
      </c>
      <c r="O72" s="6" t="s">
        <v>39</v>
      </c>
      <c r="P72" s="6" t="s">
        <v>248</v>
      </c>
      <c r="Q72" s="6" t="s">
        <v>249</v>
      </c>
      <c r="R72" s="8">
        <v>9.8000000000000007</v>
      </c>
      <c r="S72" s="8">
        <v>271.52</v>
      </c>
      <c r="T72" s="8">
        <v>27.45</v>
      </c>
      <c r="U72" s="8">
        <v>298.97000000000003</v>
      </c>
      <c r="V72" s="6" t="s">
        <v>489</v>
      </c>
      <c r="W72" s="6" t="s">
        <v>263</v>
      </c>
    </row>
    <row r="73" spans="1:23">
      <c r="A73" s="6">
        <v>70</v>
      </c>
      <c r="B73" s="7" t="s">
        <v>490</v>
      </c>
      <c r="C73" s="7" t="s">
        <v>491</v>
      </c>
      <c r="D73" s="6" t="s">
        <v>32</v>
      </c>
      <c r="E73" s="6" t="s">
        <v>492</v>
      </c>
      <c r="F73" s="6" t="s">
        <v>83</v>
      </c>
      <c r="G73" s="6" t="s">
        <v>493</v>
      </c>
      <c r="H73" s="7" t="s">
        <v>494</v>
      </c>
      <c r="I73" s="6" t="s">
        <v>137</v>
      </c>
      <c r="J73" s="6" t="s">
        <v>74</v>
      </c>
      <c r="K73" s="6">
        <v>400</v>
      </c>
      <c r="L73" s="6" t="s">
        <v>138</v>
      </c>
      <c r="M73" s="6" t="s">
        <v>8</v>
      </c>
      <c r="N73" s="6" t="s">
        <v>9</v>
      </c>
      <c r="O73" s="6" t="s">
        <v>25</v>
      </c>
      <c r="P73" s="6" t="s">
        <v>248</v>
      </c>
      <c r="Q73" s="6" t="s">
        <v>249</v>
      </c>
      <c r="R73" s="8">
        <v>0</v>
      </c>
      <c r="S73" s="8">
        <v>2.2200000000000002</v>
      </c>
      <c r="T73" s="8">
        <v>0</v>
      </c>
      <c r="U73" s="8">
        <v>2.2200000000000002</v>
      </c>
      <c r="V73" s="6" t="s">
        <v>121</v>
      </c>
      <c r="W73" s="6" t="s">
        <v>348</v>
      </c>
    </row>
    <row r="74" spans="1:23">
      <c r="A74" s="6">
        <v>71</v>
      </c>
      <c r="B74" s="7" t="s">
        <v>495</v>
      </c>
      <c r="C74" s="7" t="s">
        <v>121</v>
      </c>
      <c r="D74" s="6" t="s">
        <v>20</v>
      </c>
      <c r="E74" s="6" t="s">
        <v>496</v>
      </c>
      <c r="F74" s="6" t="s">
        <v>83</v>
      </c>
      <c r="G74" s="6" t="s">
        <v>497</v>
      </c>
      <c r="H74" s="7" t="s">
        <v>498</v>
      </c>
      <c r="I74" s="6" t="s">
        <v>137</v>
      </c>
      <c r="J74" s="6" t="s">
        <v>125</v>
      </c>
      <c r="K74" s="6">
        <v>60</v>
      </c>
      <c r="L74" s="6" t="s">
        <v>327</v>
      </c>
      <c r="M74" s="6" t="s">
        <v>12</v>
      </c>
      <c r="N74" s="6" t="s">
        <v>9</v>
      </c>
      <c r="O74" s="6" t="s">
        <v>21</v>
      </c>
      <c r="P74" s="6" t="s">
        <v>200</v>
      </c>
      <c r="Q74" s="6" t="s">
        <v>129</v>
      </c>
      <c r="R74" s="8">
        <v>0</v>
      </c>
      <c r="S74" s="8">
        <v>1.43</v>
      </c>
      <c r="T74" s="8">
        <v>33.24</v>
      </c>
      <c r="U74" s="8">
        <v>34.67</v>
      </c>
      <c r="V74" s="6" t="s">
        <v>499</v>
      </c>
      <c r="W74" s="6" t="s">
        <v>317</v>
      </c>
    </row>
    <row r="75" spans="1:23">
      <c r="A75" s="6">
        <v>72</v>
      </c>
      <c r="B75" s="7" t="s">
        <v>500</v>
      </c>
      <c r="C75" s="7" t="s">
        <v>501</v>
      </c>
      <c r="D75" s="6" t="s">
        <v>36</v>
      </c>
      <c r="E75" s="6" t="s">
        <v>502</v>
      </c>
      <c r="F75" s="6" t="s">
        <v>83</v>
      </c>
      <c r="G75" s="6" t="s">
        <v>503</v>
      </c>
      <c r="H75" s="7" t="s">
        <v>504</v>
      </c>
      <c r="I75" s="6" t="s">
        <v>86</v>
      </c>
      <c r="J75" s="6" t="s">
        <v>74</v>
      </c>
      <c r="K75" s="6">
        <v>400</v>
      </c>
      <c r="L75" s="6" t="s">
        <v>267</v>
      </c>
      <c r="M75" s="6" t="s">
        <v>14</v>
      </c>
      <c r="N75" s="6" t="s">
        <v>9</v>
      </c>
      <c r="O75" s="6" t="s">
        <v>25</v>
      </c>
      <c r="P75" s="6" t="s">
        <v>192</v>
      </c>
      <c r="Q75" s="6" t="s">
        <v>289</v>
      </c>
      <c r="R75" s="8">
        <v>0.5</v>
      </c>
      <c r="S75" s="8">
        <v>11.14</v>
      </c>
      <c r="T75" s="8">
        <v>0</v>
      </c>
      <c r="U75" s="8">
        <v>11.14</v>
      </c>
      <c r="V75" s="6" t="s">
        <v>121</v>
      </c>
      <c r="W75" s="6" t="s">
        <v>151</v>
      </c>
    </row>
    <row r="76" spans="1:23">
      <c r="A76" s="6">
        <v>73</v>
      </c>
      <c r="B76" s="7" t="s">
        <v>505</v>
      </c>
      <c r="C76" s="7" t="s">
        <v>506</v>
      </c>
      <c r="D76" s="6" t="s">
        <v>36</v>
      </c>
      <c r="E76" s="6" t="s">
        <v>507</v>
      </c>
      <c r="F76" s="6" t="s">
        <v>83</v>
      </c>
      <c r="G76" s="6" t="s">
        <v>508</v>
      </c>
      <c r="H76" s="7" t="s">
        <v>509</v>
      </c>
      <c r="I76" s="6" t="s">
        <v>86</v>
      </c>
      <c r="J76" s="6" t="s">
        <v>74</v>
      </c>
      <c r="K76" s="6">
        <v>400</v>
      </c>
      <c r="L76" s="6" t="s">
        <v>107</v>
      </c>
      <c r="M76" s="6" t="s">
        <v>10</v>
      </c>
      <c r="N76" s="6" t="s">
        <v>9</v>
      </c>
      <c r="O76" s="6" t="s">
        <v>23</v>
      </c>
      <c r="P76" s="6" t="s">
        <v>172</v>
      </c>
      <c r="Q76" s="6" t="s">
        <v>149</v>
      </c>
      <c r="R76" s="8">
        <v>5.0999999999999996</v>
      </c>
      <c r="S76" s="8">
        <v>57.99</v>
      </c>
      <c r="T76" s="8">
        <v>49.09</v>
      </c>
      <c r="U76" s="8">
        <v>107.08</v>
      </c>
      <c r="V76" s="6" t="s">
        <v>510</v>
      </c>
      <c r="W76" s="6" t="s">
        <v>511</v>
      </c>
    </row>
    <row r="77" spans="1:23">
      <c r="A77" s="6">
        <v>74</v>
      </c>
      <c r="B77" s="7" t="s">
        <v>512</v>
      </c>
      <c r="C77" s="7" t="s">
        <v>121</v>
      </c>
      <c r="D77" s="6" t="s">
        <v>30</v>
      </c>
      <c r="E77" s="6" t="s">
        <v>513</v>
      </c>
      <c r="F77" s="6" t="s">
        <v>83</v>
      </c>
      <c r="G77" s="6" t="s">
        <v>514</v>
      </c>
      <c r="H77" s="7" t="s">
        <v>515</v>
      </c>
      <c r="I77" s="6" t="s">
        <v>73</v>
      </c>
      <c r="J77" s="6" t="s">
        <v>74</v>
      </c>
      <c r="K77" s="6">
        <v>400</v>
      </c>
      <c r="L77" s="6" t="s">
        <v>171</v>
      </c>
      <c r="M77" s="6" t="s">
        <v>12</v>
      </c>
      <c r="N77" s="6" t="s">
        <v>11</v>
      </c>
      <c r="O77" s="6" t="s">
        <v>31</v>
      </c>
      <c r="P77" s="6" t="s">
        <v>157</v>
      </c>
      <c r="Q77" s="6" t="s">
        <v>158</v>
      </c>
      <c r="R77" s="8">
        <v>11</v>
      </c>
      <c r="S77" s="8">
        <v>308.72000000000003</v>
      </c>
      <c r="T77" s="8">
        <v>32.18</v>
      </c>
      <c r="U77" s="8">
        <v>340.9</v>
      </c>
      <c r="V77" s="6" t="s">
        <v>516</v>
      </c>
      <c r="W77" s="6" t="s">
        <v>165</v>
      </c>
    </row>
    <row r="78" spans="1:23" ht="22.35">
      <c r="A78" s="6">
        <v>75</v>
      </c>
      <c r="B78" s="7" t="s">
        <v>517</v>
      </c>
      <c r="C78" s="7" t="s">
        <v>121</v>
      </c>
      <c r="D78" s="6" t="s">
        <v>34</v>
      </c>
      <c r="E78" s="6" t="s">
        <v>518</v>
      </c>
      <c r="F78" s="6" t="s">
        <v>83</v>
      </c>
      <c r="G78" s="6" t="s">
        <v>519</v>
      </c>
      <c r="H78" s="7" t="s">
        <v>520</v>
      </c>
      <c r="I78" s="6" t="s">
        <v>73</v>
      </c>
      <c r="J78" s="6" t="s">
        <v>125</v>
      </c>
      <c r="K78" s="6">
        <v>6</v>
      </c>
      <c r="L78" s="6" t="s">
        <v>327</v>
      </c>
      <c r="M78" s="6" t="s">
        <v>16</v>
      </c>
      <c r="N78" s="6" t="s">
        <v>15</v>
      </c>
      <c r="O78" s="6" t="s">
        <v>156</v>
      </c>
      <c r="P78" s="6" t="s">
        <v>200</v>
      </c>
      <c r="Q78" s="6" t="s">
        <v>129</v>
      </c>
      <c r="R78" s="8">
        <v>19.899999999999999</v>
      </c>
      <c r="S78" s="8">
        <v>792.07</v>
      </c>
      <c r="T78" s="8">
        <v>0</v>
      </c>
      <c r="U78" s="8">
        <v>792.07</v>
      </c>
      <c r="V78" s="6" t="s">
        <v>121</v>
      </c>
      <c r="W78" s="6" t="s">
        <v>119</v>
      </c>
    </row>
    <row r="79" spans="1:23">
      <c r="A79" s="6">
        <v>76</v>
      </c>
      <c r="B79" s="7" t="s">
        <v>521</v>
      </c>
      <c r="C79" s="7" t="s">
        <v>522</v>
      </c>
      <c r="D79" s="6" t="s">
        <v>20</v>
      </c>
      <c r="E79" s="6" t="s">
        <v>523</v>
      </c>
      <c r="F79" s="6" t="s">
        <v>83</v>
      </c>
      <c r="G79" s="6" t="s">
        <v>524</v>
      </c>
      <c r="H79" s="7" t="s">
        <v>525</v>
      </c>
      <c r="I79" s="6" t="s">
        <v>86</v>
      </c>
      <c r="J79" s="6" t="s">
        <v>74</v>
      </c>
      <c r="K79" s="6">
        <v>200</v>
      </c>
      <c r="L79" s="6" t="s">
        <v>138</v>
      </c>
      <c r="M79" s="6" t="s">
        <v>10</v>
      </c>
      <c r="N79" s="6" t="s">
        <v>13</v>
      </c>
      <c r="O79" s="6" t="s">
        <v>39</v>
      </c>
      <c r="P79" s="6" t="s">
        <v>192</v>
      </c>
      <c r="Q79" s="6" t="s">
        <v>158</v>
      </c>
      <c r="R79" s="8">
        <v>3.4</v>
      </c>
      <c r="S79" s="8">
        <v>117.37</v>
      </c>
      <c r="T79" s="8">
        <v>35.64</v>
      </c>
      <c r="U79" s="8">
        <v>153.01</v>
      </c>
      <c r="V79" s="6" t="s">
        <v>526</v>
      </c>
      <c r="W79" s="6" t="s">
        <v>131</v>
      </c>
    </row>
    <row r="80" spans="1:23">
      <c r="A80" s="6">
        <v>77</v>
      </c>
      <c r="B80" s="7" t="s">
        <v>527</v>
      </c>
      <c r="C80" s="7" t="s">
        <v>121</v>
      </c>
      <c r="D80" s="6" t="s">
        <v>40</v>
      </c>
      <c r="E80" s="6" t="s">
        <v>528</v>
      </c>
      <c r="F80" s="6" t="s">
        <v>83</v>
      </c>
      <c r="G80" s="6" t="s">
        <v>503</v>
      </c>
      <c r="H80" s="7" t="s">
        <v>529</v>
      </c>
      <c r="I80" s="6" t="s">
        <v>137</v>
      </c>
      <c r="J80" s="6" t="s">
        <v>74</v>
      </c>
      <c r="K80" s="6">
        <v>600</v>
      </c>
      <c r="L80" s="6" t="s">
        <v>267</v>
      </c>
      <c r="M80" s="6" t="s">
        <v>8</v>
      </c>
      <c r="N80" s="6" t="s">
        <v>9</v>
      </c>
      <c r="O80" s="6" t="s">
        <v>23</v>
      </c>
      <c r="P80" s="6" t="s">
        <v>200</v>
      </c>
      <c r="Q80" s="6" t="s">
        <v>129</v>
      </c>
      <c r="R80" s="8">
        <v>0</v>
      </c>
      <c r="S80" s="8">
        <v>0.41</v>
      </c>
      <c r="T80" s="8">
        <v>0</v>
      </c>
      <c r="U80" s="8">
        <v>0.41</v>
      </c>
      <c r="V80" s="6" t="s">
        <v>121</v>
      </c>
      <c r="W80" s="6" t="s">
        <v>151</v>
      </c>
    </row>
    <row r="81" spans="1:23">
      <c r="A81" s="6">
        <v>78</v>
      </c>
      <c r="B81" s="7" t="s">
        <v>530</v>
      </c>
      <c r="C81" s="7" t="s">
        <v>121</v>
      </c>
      <c r="D81" s="6" t="s">
        <v>24</v>
      </c>
      <c r="E81" s="6" t="s">
        <v>531</v>
      </c>
      <c r="F81" s="6" t="s">
        <v>83</v>
      </c>
      <c r="G81" s="6" t="s">
        <v>532</v>
      </c>
      <c r="H81" s="7" t="s">
        <v>533</v>
      </c>
      <c r="I81" s="6" t="s">
        <v>86</v>
      </c>
      <c r="J81" s="6" t="s">
        <v>125</v>
      </c>
      <c r="K81" s="6">
        <v>60</v>
      </c>
      <c r="L81" s="6" t="s">
        <v>327</v>
      </c>
      <c r="M81" s="6" t="s">
        <v>12</v>
      </c>
      <c r="N81" s="6" t="s">
        <v>15</v>
      </c>
      <c r="O81" s="6" t="s">
        <v>127</v>
      </c>
      <c r="P81" s="6" t="s">
        <v>99</v>
      </c>
      <c r="Q81" s="6" t="s">
        <v>139</v>
      </c>
      <c r="R81" s="8">
        <v>6.3</v>
      </c>
      <c r="S81" s="8">
        <v>178.88</v>
      </c>
      <c r="T81" s="8">
        <v>36.92</v>
      </c>
      <c r="U81" s="8">
        <v>215.8</v>
      </c>
      <c r="V81" s="6" t="s">
        <v>534</v>
      </c>
      <c r="W81" s="6" t="s">
        <v>251</v>
      </c>
    </row>
    <row r="82" spans="1:23">
      <c r="A82" s="6">
        <v>79</v>
      </c>
      <c r="B82" s="7" t="s">
        <v>535</v>
      </c>
      <c r="C82" s="7" t="s">
        <v>121</v>
      </c>
      <c r="D82" s="6" t="s">
        <v>40</v>
      </c>
      <c r="E82" s="6" t="s">
        <v>536</v>
      </c>
      <c r="F82" s="6" t="s">
        <v>83</v>
      </c>
      <c r="G82" s="6" t="s">
        <v>537</v>
      </c>
      <c r="H82" s="7" t="s">
        <v>538</v>
      </c>
      <c r="I82" s="6" t="s">
        <v>73</v>
      </c>
      <c r="J82" s="6" t="s">
        <v>125</v>
      </c>
      <c r="K82" s="6">
        <v>60</v>
      </c>
      <c r="L82" s="6" t="s">
        <v>97</v>
      </c>
      <c r="M82" s="6" t="s">
        <v>8</v>
      </c>
      <c r="N82" s="6" t="s">
        <v>13</v>
      </c>
      <c r="O82" s="6" t="s">
        <v>39</v>
      </c>
      <c r="P82" s="6" t="s">
        <v>172</v>
      </c>
      <c r="Q82" s="6" t="s">
        <v>225</v>
      </c>
      <c r="R82" s="8">
        <v>1.8</v>
      </c>
      <c r="S82" s="8">
        <v>59.72</v>
      </c>
      <c r="T82" s="8">
        <v>0</v>
      </c>
      <c r="U82" s="8">
        <v>59.72</v>
      </c>
      <c r="V82" s="6" t="s">
        <v>121</v>
      </c>
      <c r="W82" s="6" t="s">
        <v>173</v>
      </c>
    </row>
    <row r="83" spans="1:23" ht="22.35">
      <c r="A83" s="6">
        <v>80</v>
      </c>
      <c r="B83" s="7" t="s">
        <v>539</v>
      </c>
      <c r="C83" s="7" t="s">
        <v>540</v>
      </c>
      <c r="D83" s="6" t="s">
        <v>38</v>
      </c>
      <c r="E83" s="6" t="s">
        <v>541</v>
      </c>
      <c r="F83" s="6" t="s">
        <v>83</v>
      </c>
      <c r="G83" s="6" t="s">
        <v>542</v>
      </c>
      <c r="H83" s="7" t="s">
        <v>543</v>
      </c>
      <c r="I83" s="6" t="s">
        <v>86</v>
      </c>
      <c r="J83" s="6" t="s">
        <v>74</v>
      </c>
      <c r="K83" s="6">
        <v>400</v>
      </c>
      <c r="L83" s="6" t="s">
        <v>138</v>
      </c>
      <c r="M83" s="6" t="s">
        <v>16</v>
      </c>
      <c r="N83" s="6" t="s">
        <v>11</v>
      </c>
      <c r="O83" s="6" t="s">
        <v>41</v>
      </c>
      <c r="P83" s="6" t="s">
        <v>108</v>
      </c>
      <c r="Q83" s="6" t="s">
        <v>206</v>
      </c>
      <c r="R83" s="8">
        <v>5.3</v>
      </c>
      <c r="S83" s="8">
        <v>203.75</v>
      </c>
      <c r="T83" s="8">
        <v>0</v>
      </c>
      <c r="U83" s="8">
        <v>203.75</v>
      </c>
      <c r="V83" s="6" t="s">
        <v>121</v>
      </c>
      <c r="W83" s="6" t="s">
        <v>511</v>
      </c>
    </row>
    <row r="84" spans="1:23">
      <c r="A84" s="6">
        <v>81</v>
      </c>
      <c r="B84" s="7" t="s">
        <v>544</v>
      </c>
      <c r="C84" s="7" t="s">
        <v>121</v>
      </c>
      <c r="D84" s="6" t="s">
        <v>24</v>
      </c>
      <c r="E84" s="6" t="s">
        <v>545</v>
      </c>
      <c r="F84" s="6" t="s">
        <v>70</v>
      </c>
      <c r="G84" s="6" t="s">
        <v>546</v>
      </c>
      <c r="H84" s="7" t="s">
        <v>547</v>
      </c>
      <c r="I84" s="6" t="s">
        <v>73</v>
      </c>
      <c r="J84" s="6" t="s">
        <v>125</v>
      </c>
      <c r="K84" s="6">
        <v>6</v>
      </c>
      <c r="L84" s="6" t="s">
        <v>126</v>
      </c>
      <c r="M84" s="6" t="s">
        <v>12</v>
      </c>
      <c r="N84" s="6" t="s">
        <v>13</v>
      </c>
      <c r="O84" s="6" t="s">
        <v>39</v>
      </c>
      <c r="P84" s="6" t="s">
        <v>256</v>
      </c>
      <c r="Q84" s="6" t="s">
        <v>149</v>
      </c>
      <c r="R84" s="8">
        <v>32.9</v>
      </c>
      <c r="S84" s="8">
        <v>792.32</v>
      </c>
      <c r="T84" s="8">
        <v>39.659999999999997</v>
      </c>
      <c r="U84" s="8">
        <v>831.98</v>
      </c>
      <c r="V84" s="6" t="s">
        <v>548</v>
      </c>
      <c r="W84" s="6" t="s">
        <v>348</v>
      </c>
    </row>
    <row r="85" spans="1:23">
      <c r="A85" s="6">
        <v>82</v>
      </c>
      <c r="B85" s="7" t="s">
        <v>549</v>
      </c>
      <c r="C85" s="7" t="s">
        <v>550</v>
      </c>
      <c r="D85" s="6" t="s">
        <v>24</v>
      </c>
      <c r="E85" s="6" t="s">
        <v>551</v>
      </c>
      <c r="F85" s="6" t="s">
        <v>83</v>
      </c>
      <c r="G85" s="6" t="s">
        <v>552</v>
      </c>
      <c r="H85" s="7" t="s">
        <v>553</v>
      </c>
      <c r="I85" s="6" t="s">
        <v>73</v>
      </c>
      <c r="J85" s="6" t="s">
        <v>125</v>
      </c>
      <c r="K85" s="6">
        <v>60</v>
      </c>
      <c r="L85" s="6" t="s">
        <v>199</v>
      </c>
      <c r="M85" s="6" t="s">
        <v>10</v>
      </c>
      <c r="N85" s="6" t="s">
        <v>9</v>
      </c>
      <c r="O85" s="6" t="s">
        <v>29</v>
      </c>
      <c r="P85" s="6" t="s">
        <v>185</v>
      </c>
      <c r="Q85" s="6" t="s">
        <v>186</v>
      </c>
      <c r="R85" s="8">
        <v>4.0999999999999996</v>
      </c>
      <c r="S85" s="8">
        <v>105.01</v>
      </c>
      <c r="T85" s="8">
        <v>33.79</v>
      </c>
      <c r="U85" s="8">
        <v>138.80000000000001</v>
      </c>
      <c r="V85" s="6" t="s">
        <v>554</v>
      </c>
      <c r="W85" s="6" t="s">
        <v>284</v>
      </c>
    </row>
    <row r="86" spans="1:23" ht="22.35">
      <c r="A86" s="6">
        <v>83</v>
      </c>
      <c r="B86" s="7" t="s">
        <v>555</v>
      </c>
      <c r="C86" s="7" t="s">
        <v>121</v>
      </c>
      <c r="D86" s="6" t="s">
        <v>24</v>
      </c>
      <c r="E86" s="6" t="s">
        <v>556</v>
      </c>
      <c r="F86" s="6" t="s">
        <v>70</v>
      </c>
      <c r="G86" s="6" t="s">
        <v>557</v>
      </c>
      <c r="H86" s="7" t="s">
        <v>558</v>
      </c>
      <c r="I86" s="6" t="s">
        <v>137</v>
      </c>
      <c r="J86" s="6" t="s">
        <v>125</v>
      </c>
      <c r="K86" s="6">
        <v>60</v>
      </c>
      <c r="L86" s="6" t="s">
        <v>126</v>
      </c>
      <c r="M86" s="6" t="s">
        <v>16</v>
      </c>
      <c r="N86" s="6" t="s">
        <v>9</v>
      </c>
      <c r="O86" s="6" t="s">
        <v>25</v>
      </c>
      <c r="P86" s="6" t="s">
        <v>248</v>
      </c>
      <c r="Q86" s="6" t="s">
        <v>249</v>
      </c>
      <c r="R86" s="8">
        <v>0</v>
      </c>
      <c r="S86" s="8">
        <v>2.2000000000000002</v>
      </c>
      <c r="T86" s="8">
        <v>0</v>
      </c>
      <c r="U86" s="8">
        <v>2.2000000000000002</v>
      </c>
      <c r="V86" s="6" t="s">
        <v>121</v>
      </c>
      <c r="W86" s="6" t="s">
        <v>391</v>
      </c>
    </row>
    <row r="87" spans="1:23">
      <c r="A87" s="6">
        <v>84</v>
      </c>
      <c r="B87" s="7" t="s">
        <v>559</v>
      </c>
      <c r="C87" s="7" t="s">
        <v>560</v>
      </c>
      <c r="D87" s="6" t="s">
        <v>30</v>
      </c>
      <c r="E87" s="6" t="s">
        <v>561</v>
      </c>
      <c r="F87" s="6" t="s">
        <v>83</v>
      </c>
      <c r="G87" s="6" t="s">
        <v>562</v>
      </c>
      <c r="H87" s="7" t="s">
        <v>563</v>
      </c>
      <c r="I87" s="6" t="s">
        <v>137</v>
      </c>
      <c r="J87" s="6" t="s">
        <v>125</v>
      </c>
      <c r="K87" s="6">
        <v>6</v>
      </c>
      <c r="L87" s="6" t="s">
        <v>218</v>
      </c>
      <c r="M87" s="6" t="s">
        <v>10</v>
      </c>
      <c r="N87" s="6" t="s">
        <v>9</v>
      </c>
      <c r="O87" s="6" t="s">
        <v>29</v>
      </c>
      <c r="P87" s="6" t="s">
        <v>157</v>
      </c>
      <c r="Q87" s="6" t="s">
        <v>158</v>
      </c>
      <c r="R87" s="8">
        <v>0</v>
      </c>
      <c r="S87" s="8">
        <v>0.82</v>
      </c>
      <c r="T87" s="8">
        <v>19.86</v>
      </c>
      <c r="U87" s="8">
        <v>20.68</v>
      </c>
      <c r="V87" s="6" t="s">
        <v>564</v>
      </c>
      <c r="W87" s="6" t="s">
        <v>110</v>
      </c>
    </row>
    <row r="88" spans="1:23">
      <c r="A88" s="6">
        <v>85</v>
      </c>
      <c r="B88" s="7" t="s">
        <v>565</v>
      </c>
      <c r="C88" s="7" t="s">
        <v>121</v>
      </c>
      <c r="D88" s="6" t="s">
        <v>36</v>
      </c>
      <c r="E88" s="6" t="s">
        <v>566</v>
      </c>
      <c r="F88" s="6" t="s">
        <v>70</v>
      </c>
      <c r="G88" s="6" t="s">
        <v>567</v>
      </c>
      <c r="H88" s="7" t="s">
        <v>568</v>
      </c>
      <c r="I88" s="6" t="s">
        <v>86</v>
      </c>
      <c r="J88" s="6" t="s">
        <v>125</v>
      </c>
      <c r="K88" s="6">
        <v>60</v>
      </c>
      <c r="L88" s="6" t="s">
        <v>199</v>
      </c>
      <c r="M88" s="6" t="s">
        <v>10</v>
      </c>
      <c r="N88" s="6" t="s">
        <v>11</v>
      </c>
      <c r="O88" s="6" t="s">
        <v>33</v>
      </c>
      <c r="P88" s="6" t="s">
        <v>76</v>
      </c>
      <c r="Q88" s="6" t="s">
        <v>149</v>
      </c>
      <c r="R88" s="8">
        <v>3.2</v>
      </c>
      <c r="S88" s="8">
        <v>57.2</v>
      </c>
      <c r="T88" s="8">
        <v>7.96</v>
      </c>
      <c r="U88" s="8">
        <v>65.16</v>
      </c>
      <c r="V88" s="6" t="s">
        <v>569</v>
      </c>
      <c r="W88" s="6" t="s">
        <v>444</v>
      </c>
    </row>
    <row r="89" spans="1:23">
      <c r="A89" s="6">
        <v>86</v>
      </c>
      <c r="B89" s="7" t="s">
        <v>570</v>
      </c>
      <c r="C89" s="7" t="s">
        <v>571</v>
      </c>
      <c r="D89" s="6" t="s">
        <v>20</v>
      </c>
      <c r="E89" s="6" t="s">
        <v>572</v>
      </c>
      <c r="F89" s="6" t="s">
        <v>83</v>
      </c>
      <c r="G89" s="6" t="s">
        <v>573</v>
      </c>
      <c r="H89" s="7" t="s">
        <v>574</v>
      </c>
      <c r="I89" s="6" t="s">
        <v>73</v>
      </c>
      <c r="J89" s="6" t="s">
        <v>87</v>
      </c>
      <c r="K89" s="6">
        <v>4000</v>
      </c>
      <c r="L89" s="6" t="s">
        <v>116</v>
      </c>
      <c r="M89" s="6" t="s">
        <v>12</v>
      </c>
      <c r="N89" s="6" t="s">
        <v>9</v>
      </c>
      <c r="O89" s="6" t="s">
        <v>25</v>
      </c>
      <c r="P89" s="6" t="s">
        <v>108</v>
      </c>
      <c r="Q89" s="6" t="s">
        <v>206</v>
      </c>
      <c r="R89" s="8">
        <v>4</v>
      </c>
      <c r="S89" s="8">
        <v>72.959999999999994</v>
      </c>
      <c r="T89" s="8">
        <v>9.7200000000000006</v>
      </c>
      <c r="U89" s="8">
        <v>82.68</v>
      </c>
      <c r="V89" s="6" t="s">
        <v>575</v>
      </c>
      <c r="W89" s="6" t="s">
        <v>263</v>
      </c>
    </row>
    <row r="90" spans="1:23">
      <c r="A90" s="6">
        <v>87</v>
      </c>
      <c r="B90" s="7" t="s">
        <v>576</v>
      </c>
      <c r="C90" s="7" t="s">
        <v>121</v>
      </c>
      <c r="D90" s="6" t="s">
        <v>20</v>
      </c>
      <c r="E90" s="6" t="s">
        <v>577</v>
      </c>
      <c r="F90" s="6" t="s">
        <v>70</v>
      </c>
      <c r="G90" s="6" t="s">
        <v>447</v>
      </c>
      <c r="H90" s="7" t="s">
        <v>578</v>
      </c>
      <c r="I90" s="6" t="s">
        <v>147</v>
      </c>
      <c r="J90" s="6" t="s">
        <v>125</v>
      </c>
      <c r="K90" s="6">
        <v>6</v>
      </c>
      <c r="L90" s="6" t="s">
        <v>163</v>
      </c>
      <c r="M90" s="6" t="s">
        <v>12</v>
      </c>
      <c r="N90" s="6" t="s">
        <v>11</v>
      </c>
      <c r="O90" s="6" t="s">
        <v>33</v>
      </c>
      <c r="P90" s="6" t="s">
        <v>148</v>
      </c>
      <c r="Q90" s="6" t="s">
        <v>149</v>
      </c>
      <c r="R90" s="8">
        <v>4.5</v>
      </c>
      <c r="S90" s="8">
        <v>75.69</v>
      </c>
      <c r="T90" s="8">
        <v>29.4</v>
      </c>
      <c r="U90" s="8">
        <v>105.09</v>
      </c>
      <c r="V90" s="6" t="s">
        <v>579</v>
      </c>
      <c r="W90" s="6" t="s">
        <v>410</v>
      </c>
    </row>
    <row r="91" spans="1:23">
      <c r="A91" s="6">
        <v>88</v>
      </c>
      <c r="B91" s="7" t="s">
        <v>580</v>
      </c>
      <c r="C91" s="7" t="s">
        <v>581</v>
      </c>
      <c r="D91" s="6" t="s">
        <v>22</v>
      </c>
      <c r="E91" s="6" t="s">
        <v>582</v>
      </c>
      <c r="F91" s="6" t="s">
        <v>83</v>
      </c>
      <c r="G91" s="6" t="s">
        <v>583</v>
      </c>
      <c r="H91" s="7" t="s">
        <v>584</v>
      </c>
      <c r="I91" s="6" t="s">
        <v>585</v>
      </c>
      <c r="J91" s="6" t="s">
        <v>74</v>
      </c>
      <c r="K91" s="6">
        <v>600</v>
      </c>
      <c r="L91" s="6" t="s">
        <v>327</v>
      </c>
      <c r="M91" s="6" t="s">
        <v>8</v>
      </c>
      <c r="N91" s="6" t="s">
        <v>13</v>
      </c>
      <c r="O91" s="6" t="s">
        <v>425</v>
      </c>
      <c r="P91" s="6" t="s">
        <v>117</v>
      </c>
      <c r="Q91" s="6" t="s">
        <v>426</v>
      </c>
      <c r="R91" s="8">
        <v>0</v>
      </c>
      <c r="S91" s="8">
        <v>3.59</v>
      </c>
      <c r="T91" s="8">
        <v>0</v>
      </c>
      <c r="U91" s="8">
        <v>3.59</v>
      </c>
      <c r="V91" s="6" t="s">
        <v>121</v>
      </c>
      <c r="W91" s="6" t="s">
        <v>348</v>
      </c>
    </row>
    <row r="92" spans="1:23">
      <c r="A92" s="6">
        <v>89</v>
      </c>
      <c r="B92" s="7" t="s">
        <v>586</v>
      </c>
      <c r="C92" s="7" t="s">
        <v>121</v>
      </c>
      <c r="D92" s="6" t="s">
        <v>38</v>
      </c>
      <c r="E92" s="6" t="s">
        <v>587</v>
      </c>
      <c r="F92" s="6" t="s">
        <v>83</v>
      </c>
      <c r="G92" s="6" t="s">
        <v>588</v>
      </c>
      <c r="H92" s="7" t="s">
        <v>589</v>
      </c>
      <c r="I92" s="6" t="s">
        <v>73</v>
      </c>
      <c r="J92" s="6" t="s">
        <v>87</v>
      </c>
      <c r="K92" s="6">
        <v>4000</v>
      </c>
      <c r="L92" s="6" t="s">
        <v>107</v>
      </c>
      <c r="M92" s="6" t="s">
        <v>8</v>
      </c>
      <c r="N92" s="6" t="s">
        <v>9</v>
      </c>
      <c r="O92" s="6" t="s">
        <v>25</v>
      </c>
      <c r="P92" s="6" t="s">
        <v>108</v>
      </c>
      <c r="Q92" s="6" t="s">
        <v>206</v>
      </c>
      <c r="R92" s="8">
        <v>14.8</v>
      </c>
      <c r="S92" s="8">
        <v>273.07</v>
      </c>
      <c r="T92" s="8">
        <v>0</v>
      </c>
      <c r="U92" s="8">
        <v>273.07</v>
      </c>
      <c r="V92" s="6" t="s">
        <v>121</v>
      </c>
      <c r="W92" s="6" t="s">
        <v>391</v>
      </c>
    </row>
    <row r="93" spans="1:23">
      <c r="A93" s="6">
        <v>90</v>
      </c>
      <c r="B93" s="7" t="s">
        <v>590</v>
      </c>
      <c r="C93" s="7" t="s">
        <v>121</v>
      </c>
      <c r="D93" s="6" t="s">
        <v>38</v>
      </c>
      <c r="E93" s="6" t="s">
        <v>591</v>
      </c>
      <c r="F93" s="6" t="s">
        <v>83</v>
      </c>
      <c r="G93" s="6" t="s">
        <v>592</v>
      </c>
      <c r="H93" s="7" t="s">
        <v>593</v>
      </c>
      <c r="I93" s="6" t="s">
        <v>73</v>
      </c>
      <c r="J93" s="6" t="s">
        <v>125</v>
      </c>
      <c r="K93" s="6">
        <v>60</v>
      </c>
      <c r="L93" s="6" t="s">
        <v>107</v>
      </c>
      <c r="M93" s="6" t="s">
        <v>8</v>
      </c>
      <c r="N93" s="6" t="s">
        <v>9</v>
      </c>
      <c r="O93" s="6" t="s">
        <v>21</v>
      </c>
      <c r="P93" s="6" t="s">
        <v>99</v>
      </c>
      <c r="Q93" s="6" t="s">
        <v>139</v>
      </c>
      <c r="R93" s="8">
        <v>8.6999999999999993</v>
      </c>
      <c r="S93" s="8">
        <v>180.74</v>
      </c>
      <c r="T93" s="8">
        <v>0</v>
      </c>
      <c r="U93" s="8">
        <v>180.74</v>
      </c>
      <c r="V93" s="6" t="s">
        <v>121</v>
      </c>
      <c r="W93" s="6" t="s">
        <v>173</v>
      </c>
    </row>
    <row r="94" spans="1:23">
      <c r="A94" s="6">
        <v>91</v>
      </c>
      <c r="B94" s="7" t="s">
        <v>594</v>
      </c>
      <c r="C94" s="7" t="s">
        <v>121</v>
      </c>
      <c r="D94" s="6" t="s">
        <v>22</v>
      </c>
      <c r="E94" s="6" t="s">
        <v>595</v>
      </c>
      <c r="F94" s="6" t="s">
        <v>83</v>
      </c>
      <c r="G94" s="6" t="s">
        <v>596</v>
      </c>
      <c r="H94" s="7" t="s">
        <v>597</v>
      </c>
      <c r="I94" s="6" t="s">
        <v>73</v>
      </c>
      <c r="J94" s="6" t="s">
        <v>74</v>
      </c>
      <c r="K94" s="6">
        <v>600</v>
      </c>
      <c r="L94" s="6" t="s">
        <v>163</v>
      </c>
      <c r="M94" s="6" t="s">
        <v>10</v>
      </c>
      <c r="N94" s="6" t="s">
        <v>15</v>
      </c>
      <c r="O94" s="6" t="s">
        <v>156</v>
      </c>
      <c r="P94" s="6" t="s">
        <v>277</v>
      </c>
      <c r="Q94" s="6" t="s">
        <v>149</v>
      </c>
      <c r="R94" s="8">
        <v>4.9000000000000004</v>
      </c>
      <c r="S94" s="8">
        <v>143.88</v>
      </c>
      <c r="T94" s="8">
        <v>3.11</v>
      </c>
      <c r="U94" s="8">
        <v>146.99</v>
      </c>
      <c r="V94" s="6" t="s">
        <v>598</v>
      </c>
      <c r="W94" s="6" t="s">
        <v>242</v>
      </c>
    </row>
    <row r="95" spans="1:23">
      <c r="A95" s="6">
        <v>92</v>
      </c>
      <c r="B95" s="7" t="s">
        <v>599</v>
      </c>
      <c r="C95" s="7" t="s">
        <v>121</v>
      </c>
      <c r="D95" s="6" t="s">
        <v>28</v>
      </c>
      <c r="E95" s="6" t="s">
        <v>600</v>
      </c>
      <c r="F95" s="6" t="s">
        <v>83</v>
      </c>
      <c r="G95" s="6" t="s">
        <v>601</v>
      </c>
      <c r="H95" s="7" t="s">
        <v>602</v>
      </c>
      <c r="I95" s="6" t="s">
        <v>137</v>
      </c>
      <c r="J95" s="6" t="s">
        <v>74</v>
      </c>
      <c r="K95" s="6">
        <v>200</v>
      </c>
      <c r="L95" s="6" t="s">
        <v>163</v>
      </c>
      <c r="M95" s="6" t="s">
        <v>10</v>
      </c>
      <c r="N95" s="6" t="s">
        <v>9</v>
      </c>
      <c r="O95" s="6" t="s">
        <v>33</v>
      </c>
      <c r="P95" s="6" t="s">
        <v>192</v>
      </c>
      <c r="Q95" s="6" t="s">
        <v>289</v>
      </c>
      <c r="R95" s="8">
        <v>0</v>
      </c>
      <c r="S95" s="8">
        <v>0.2</v>
      </c>
      <c r="T95" s="8">
        <v>7.29</v>
      </c>
      <c r="U95" s="8">
        <v>7.49</v>
      </c>
      <c r="V95" s="6" t="s">
        <v>603</v>
      </c>
      <c r="W95" s="6" t="s">
        <v>604</v>
      </c>
    </row>
    <row r="96" spans="1:23">
      <c r="A96" s="6">
        <v>93</v>
      </c>
      <c r="B96" s="7" t="s">
        <v>605</v>
      </c>
      <c r="C96" s="7" t="s">
        <v>606</v>
      </c>
      <c r="D96" s="6" t="s">
        <v>32</v>
      </c>
      <c r="E96" s="6" t="s">
        <v>607</v>
      </c>
      <c r="F96" s="6" t="s">
        <v>83</v>
      </c>
      <c r="G96" s="6" t="s">
        <v>608</v>
      </c>
      <c r="H96" s="7" t="s">
        <v>609</v>
      </c>
      <c r="I96" s="6" t="s">
        <v>73</v>
      </c>
      <c r="J96" s="6" t="s">
        <v>125</v>
      </c>
      <c r="K96" s="6">
        <v>6</v>
      </c>
      <c r="L96" s="6" t="s">
        <v>163</v>
      </c>
      <c r="M96" s="6" t="s">
        <v>10</v>
      </c>
      <c r="N96" s="6" t="s">
        <v>13</v>
      </c>
      <c r="O96" s="6" t="s">
        <v>425</v>
      </c>
      <c r="P96" s="6" t="s">
        <v>128</v>
      </c>
      <c r="Q96" s="6" t="s">
        <v>129</v>
      </c>
      <c r="R96" s="8">
        <v>8.8000000000000007</v>
      </c>
      <c r="S96" s="8">
        <v>94.61</v>
      </c>
      <c r="T96" s="8">
        <v>37</v>
      </c>
      <c r="U96" s="8">
        <v>131.61000000000001</v>
      </c>
      <c r="V96" s="6" t="s">
        <v>610</v>
      </c>
      <c r="W96" s="6" t="s">
        <v>131</v>
      </c>
    </row>
    <row r="97" spans="1:23">
      <c r="A97" s="6">
        <v>94</v>
      </c>
      <c r="B97" s="7" t="s">
        <v>611</v>
      </c>
      <c r="C97" s="7" t="s">
        <v>612</v>
      </c>
      <c r="D97" s="6" t="s">
        <v>38</v>
      </c>
      <c r="E97" s="6" t="s">
        <v>613</v>
      </c>
      <c r="F97" s="6" t="s">
        <v>83</v>
      </c>
      <c r="G97" s="6" t="s">
        <v>614</v>
      </c>
      <c r="H97" s="7" t="s">
        <v>615</v>
      </c>
      <c r="I97" s="6" t="s">
        <v>73</v>
      </c>
      <c r="J97" s="6" t="s">
        <v>125</v>
      </c>
      <c r="K97" s="6">
        <v>40</v>
      </c>
      <c r="L97" s="6" t="s">
        <v>327</v>
      </c>
      <c r="M97" s="6" t="s">
        <v>14</v>
      </c>
      <c r="N97" s="6" t="s">
        <v>15</v>
      </c>
      <c r="O97" s="6" t="s">
        <v>29</v>
      </c>
      <c r="P97" s="6" t="s">
        <v>172</v>
      </c>
      <c r="Q97" s="6" t="s">
        <v>149</v>
      </c>
      <c r="R97" s="8">
        <v>2.6</v>
      </c>
      <c r="S97" s="8">
        <v>58.79</v>
      </c>
      <c r="T97" s="8">
        <v>0</v>
      </c>
      <c r="U97" s="8">
        <v>58.79</v>
      </c>
      <c r="V97" s="6" t="s">
        <v>121</v>
      </c>
      <c r="W97" s="6" t="s">
        <v>444</v>
      </c>
    </row>
    <row r="98" spans="1:23">
      <c r="A98" s="6">
        <v>95</v>
      </c>
      <c r="B98" s="7" t="s">
        <v>616</v>
      </c>
      <c r="C98" s="7" t="s">
        <v>121</v>
      </c>
      <c r="D98" s="6" t="s">
        <v>36</v>
      </c>
      <c r="E98" s="6" t="s">
        <v>617</v>
      </c>
      <c r="F98" s="6" t="s">
        <v>345</v>
      </c>
      <c r="G98" s="6" t="s">
        <v>618</v>
      </c>
      <c r="H98" s="7" t="s">
        <v>619</v>
      </c>
      <c r="I98" s="6" t="s">
        <v>73</v>
      </c>
      <c r="J98" s="6" t="s">
        <v>74</v>
      </c>
      <c r="K98" s="6">
        <v>600</v>
      </c>
      <c r="L98" s="6" t="s">
        <v>107</v>
      </c>
      <c r="M98" s="6" t="s">
        <v>14</v>
      </c>
      <c r="N98" s="6" t="s">
        <v>11</v>
      </c>
      <c r="O98" s="6" t="s">
        <v>43</v>
      </c>
      <c r="P98" s="6" t="s">
        <v>185</v>
      </c>
      <c r="Q98" s="6" t="s">
        <v>186</v>
      </c>
      <c r="R98" s="8">
        <v>2.2999999999999998</v>
      </c>
      <c r="S98" s="8">
        <v>59.56</v>
      </c>
      <c r="T98" s="8">
        <v>0</v>
      </c>
      <c r="U98" s="8">
        <v>59.56</v>
      </c>
      <c r="V98" s="6" t="s">
        <v>121</v>
      </c>
      <c r="W98" s="6" t="s">
        <v>348</v>
      </c>
    </row>
    <row r="99" spans="1:23">
      <c r="A99" s="6">
        <v>96</v>
      </c>
      <c r="B99" s="7" t="s">
        <v>111</v>
      </c>
      <c r="C99" s="7" t="s">
        <v>121</v>
      </c>
      <c r="D99" s="6" t="s">
        <v>24</v>
      </c>
      <c r="E99" s="6" t="s">
        <v>620</v>
      </c>
      <c r="F99" s="6" t="s">
        <v>70</v>
      </c>
      <c r="G99" s="6" t="s">
        <v>499</v>
      </c>
      <c r="H99" s="7" t="s">
        <v>621</v>
      </c>
      <c r="I99" s="6" t="s">
        <v>86</v>
      </c>
      <c r="J99" s="6" t="s">
        <v>125</v>
      </c>
      <c r="K99" s="6">
        <v>40</v>
      </c>
      <c r="L99" s="6" t="s">
        <v>241</v>
      </c>
      <c r="M99" s="6" t="s">
        <v>8</v>
      </c>
      <c r="N99" s="6" t="s">
        <v>9</v>
      </c>
      <c r="O99" s="6" t="s">
        <v>23</v>
      </c>
      <c r="P99" s="6" t="s">
        <v>248</v>
      </c>
      <c r="Q99" s="6" t="s">
        <v>249</v>
      </c>
      <c r="R99" s="8">
        <v>5.9</v>
      </c>
      <c r="S99" s="8">
        <v>261.14</v>
      </c>
      <c r="T99" s="8">
        <v>0</v>
      </c>
      <c r="U99" s="8">
        <v>261.14</v>
      </c>
      <c r="V99" s="6" t="s">
        <v>121</v>
      </c>
      <c r="W99" s="6" t="s">
        <v>511</v>
      </c>
    </row>
    <row r="100" spans="1:23">
      <c r="A100" s="6">
        <v>97</v>
      </c>
      <c r="B100" s="7" t="s">
        <v>622</v>
      </c>
      <c r="C100" s="7" t="s">
        <v>623</v>
      </c>
      <c r="D100" s="6" t="s">
        <v>36</v>
      </c>
      <c r="E100" s="6" t="s">
        <v>624</v>
      </c>
      <c r="F100" s="6" t="s">
        <v>83</v>
      </c>
      <c r="G100" s="6" t="s">
        <v>339</v>
      </c>
      <c r="H100" s="7" t="s">
        <v>625</v>
      </c>
      <c r="I100" s="6" t="s">
        <v>137</v>
      </c>
      <c r="J100" s="6" t="s">
        <v>74</v>
      </c>
      <c r="K100" s="6">
        <v>600</v>
      </c>
      <c r="L100" s="6" t="s">
        <v>126</v>
      </c>
      <c r="M100" s="6" t="s">
        <v>10</v>
      </c>
      <c r="N100" s="6" t="s">
        <v>13</v>
      </c>
      <c r="O100" s="6" t="s">
        <v>35</v>
      </c>
      <c r="P100" s="6" t="s">
        <v>185</v>
      </c>
      <c r="Q100" s="6" t="s">
        <v>186</v>
      </c>
      <c r="R100" s="8">
        <v>0</v>
      </c>
      <c r="S100" s="8">
        <v>0.6</v>
      </c>
      <c r="T100" s="8">
        <v>34.29</v>
      </c>
      <c r="U100" s="8">
        <v>34.89</v>
      </c>
      <c r="V100" s="6" t="s">
        <v>626</v>
      </c>
      <c r="W100" s="6" t="s">
        <v>119</v>
      </c>
    </row>
    <row r="101" spans="1:23" ht="22.35">
      <c r="A101" s="6">
        <v>98</v>
      </c>
      <c r="B101" s="7" t="s">
        <v>627</v>
      </c>
      <c r="C101" s="7" t="s">
        <v>121</v>
      </c>
      <c r="D101" s="6" t="s">
        <v>20</v>
      </c>
      <c r="E101" s="6" t="s">
        <v>628</v>
      </c>
      <c r="F101" s="6" t="s">
        <v>83</v>
      </c>
      <c r="G101" s="6" t="s">
        <v>275</v>
      </c>
      <c r="H101" s="7" t="s">
        <v>629</v>
      </c>
      <c r="I101" s="6" t="s">
        <v>137</v>
      </c>
      <c r="J101" s="6" t="s">
        <v>125</v>
      </c>
      <c r="K101" s="6">
        <v>40</v>
      </c>
      <c r="L101" s="6" t="s">
        <v>199</v>
      </c>
      <c r="M101" s="6" t="s">
        <v>16</v>
      </c>
      <c r="N101" s="6" t="s">
        <v>15</v>
      </c>
      <c r="O101" s="6" t="s">
        <v>127</v>
      </c>
      <c r="P101" s="6" t="s">
        <v>277</v>
      </c>
      <c r="Q101" s="6" t="s">
        <v>149</v>
      </c>
      <c r="R101" s="8">
        <v>0</v>
      </c>
      <c r="S101" s="8">
        <v>1.39</v>
      </c>
      <c r="T101" s="8">
        <v>0</v>
      </c>
      <c r="U101" s="8">
        <v>1.39</v>
      </c>
      <c r="V101" s="6" t="s">
        <v>121</v>
      </c>
      <c r="W101" s="6" t="s">
        <v>119</v>
      </c>
    </row>
    <row r="102" spans="1:23">
      <c r="A102" s="6">
        <v>99</v>
      </c>
      <c r="B102" s="7" t="s">
        <v>630</v>
      </c>
      <c r="C102" s="7" t="s">
        <v>631</v>
      </c>
      <c r="D102" s="6" t="s">
        <v>32</v>
      </c>
      <c r="E102" s="6" t="s">
        <v>632</v>
      </c>
      <c r="F102" s="6" t="s">
        <v>83</v>
      </c>
      <c r="G102" s="6" t="s">
        <v>633</v>
      </c>
      <c r="H102" s="7" t="s">
        <v>634</v>
      </c>
      <c r="I102" s="6" t="s">
        <v>73</v>
      </c>
      <c r="J102" s="6" t="s">
        <v>87</v>
      </c>
      <c r="K102" s="6">
        <v>4000</v>
      </c>
      <c r="L102" s="6" t="s">
        <v>327</v>
      </c>
      <c r="M102" s="6" t="s">
        <v>10</v>
      </c>
      <c r="N102" s="6" t="s">
        <v>13</v>
      </c>
      <c r="O102" s="6" t="s">
        <v>37</v>
      </c>
      <c r="P102" s="6" t="s">
        <v>185</v>
      </c>
      <c r="Q102" s="6" t="s">
        <v>186</v>
      </c>
      <c r="R102" s="8">
        <v>6</v>
      </c>
      <c r="S102" s="8">
        <v>230.09</v>
      </c>
      <c r="T102" s="8">
        <v>27.96</v>
      </c>
      <c r="U102" s="8">
        <v>258.05</v>
      </c>
      <c r="V102" s="6" t="s">
        <v>635</v>
      </c>
      <c r="W102" s="6" t="s">
        <v>284</v>
      </c>
    </row>
    <row r="103" spans="1:23">
      <c r="A103" s="6">
        <v>100</v>
      </c>
      <c r="B103" s="7" t="s">
        <v>636</v>
      </c>
      <c r="C103" s="7" t="s">
        <v>637</v>
      </c>
      <c r="D103" s="6" t="s">
        <v>20</v>
      </c>
      <c r="E103" s="6" t="s">
        <v>638</v>
      </c>
      <c r="F103" s="6" t="s">
        <v>83</v>
      </c>
      <c r="G103" s="6" t="s">
        <v>639</v>
      </c>
      <c r="H103" s="7" t="s">
        <v>640</v>
      </c>
      <c r="I103" s="6" t="s">
        <v>73</v>
      </c>
      <c r="J103" s="6" t="s">
        <v>87</v>
      </c>
      <c r="K103" s="6">
        <v>4000</v>
      </c>
      <c r="L103" s="6" t="s">
        <v>97</v>
      </c>
      <c r="M103" s="6" t="s">
        <v>14</v>
      </c>
      <c r="N103" s="6" t="s">
        <v>9</v>
      </c>
      <c r="O103" s="6" t="s">
        <v>23</v>
      </c>
      <c r="P103" s="6" t="s">
        <v>76</v>
      </c>
      <c r="Q103" s="6" t="s">
        <v>149</v>
      </c>
      <c r="R103" s="8">
        <v>0.6</v>
      </c>
      <c r="S103" s="8">
        <v>24.35</v>
      </c>
      <c r="T103" s="8">
        <v>0</v>
      </c>
      <c r="U103" s="8">
        <v>24.35</v>
      </c>
      <c r="V103" s="6" t="s">
        <v>121</v>
      </c>
      <c r="W103" s="6" t="s">
        <v>511</v>
      </c>
    </row>
    <row r="104" spans="1:23">
      <c r="A104" s="6">
        <v>101</v>
      </c>
      <c r="B104" s="7" t="s">
        <v>641</v>
      </c>
      <c r="C104" s="7" t="s">
        <v>121</v>
      </c>
      <c r="D104" s="6" t="s">
        <v>20</v>
      </c>
      <c r="E104" s="6" t="s">
        <v>642</v>
      </c>
      <c r="F104" s="6" t="s">
        <v>345</v>
      </c>
      <c r="G104" s="6" t="s">
        <v>643</v>
      </c>
      <c r="H104" s="7" t="s">
        <v>644</v>
      </c>
      <c r="I104" s="6" t="s">
        <v>86</v>
      </c>
      <c r="J104" s="6" t="s">
        <v>74</v>
      </c>
      <c r="K104" s="6">
        <v>600</v>
      </c>
      <c r="L104" s="6" t="s">
        <v>138</v>
      </c>
      <c r="M104" s="6" t="s">
        <v>14</v>
      </c>
      <c r="N104" s="6" t="s">
        <v>11</v>
      </c>
      <c r="O104" s="6" t="s">
        <v>33</v>
      </c>
      <c r="P104" s="6" t="s">
        <v>192</v>
      </c>
      <c r="Q104" s="6" t="s">
        <v>129</v>
      </c>
      <c r="R104" s="8">
        <v>3</v>
      </c>
      <c r="S104" s="8">
        <v>136.82</v>
      </c>
      <c r="T104" s="8">
        <v>0</v>
      </c>
      <c r="U104" s="8">
        <v>136.82</v>
      </c>
      <c r="V104" s="6" t="s">
        <v>121</v>
      </c>
      <c r="W104" s="6" t="s">
        <v>397</v>
      </c>
    </row>
    <row r="105" spans="1:23" ht="22.35">
      <c r="A105" s="6">
        <v>102</v>
      </c>
      <c r="B105" s="7" t="s">
        <v>645</v>
      </c>
      <c r="C105" s="7" t="s">
        <v>121</v>
      </c>
      <c r="D105" s="6" t="s">
        <v>20</v>
      </c>
      <c r="E105" s="6" t="s">
        <v>646</v>
      </c>
      <c r="F105" s="6" t="s">
        <v>83</v>
      </c>
      <c r="G105" s="6" t="s">
        <v>647</v>
      </c>
      <c r="H105" s="7" t="s">
        <v>648</v>
      </c>
      <c r="I105" s="6" t="s">
        <v>73</v>
      </c>
      <c r="J105" s="6" t="s">
        <v>125</v>
      </c>
      <c r="K105" s="6">
        <v>6</v>
      </c>
      <c r="L105" s="6" t="s">
        <v>75</v>
      </c>
      <c r="M105" s="6" t="s">
        <v>16</v>
      </c>
      <c r="N105" s="6" t="s">
        <v>9</v>
      </c>
      <c r="O105" s="6" t="s">
        <v>25</v>
      </c>
      <c r="P105" s="6" t="s">
        <v>248</v>
      </c>
      <c r="Q105" s="6" t="s">
        <v>249</v>
      </c>
      <c r="R105" s="8">
        <v>7.4</v>
      </c>
      <c r="S105" s="8">
        <v>253.74</v>
      </c>
      <c r="T105" s="8">
        <v>0</v>
      </c>
      <c r="U105" s="8">
        <v>253.74</v>
      </c>
      <c r="V105" s="6" t="s">
        <v>121</v>
      </c>
      <c r="W105" s="6" t="s">
        <v>110</v>
      </c>
    </row>
    <row r="106" spans="1:23" ht="22.35">
      <c r="A106" s="6">
        <v>103</v>
      </c>
      <c r="B106" s="7" t="s">
        <v>649</v>
      </c>
      <c r="C106" s="7" t="s">
        <v>121</v>
      </c>
      <c r="D106" s="6" t="s">
        <v>40</v>
      </c>
      <c r="E106" s="6" t="s">
        <v>650</v>
      </c>
      <c r="F106" s="6" t="s">
        <v>345</v>
      </c>
      <c r="G106" s="6" t="s">
        <v>651</v>
      </c>
      <c r="H106" s="7" t="s">
        <v>652</v>
      </c>
      <c r="I106" s="6" t="s">
        <v>147</v>
      </c>
      <c r="J106" s="6" t="s">
        <v>125</v>
      </c>
      <c r="K106" s="6">
        <v>40</v>
      </c>
      <c r="L106" s="6" t="s">
        <v>218</v>
      </c>
      <c r="M106" s="6" t="s">
        <v>16</v>
      </c>
      <c r="N106" s="6" t="s">
        <v>9</v>
      </c>
      <c r="O106" s="6" t="s">
        <v>25</v>
      </c>
      <c r="P106" s="6" t="s">
        <v>172</v>
      </c>
      <c r="Q106" s="6" t="s">
        <v>149</v>
      </c>
      <c r="R106" s="8">
        <v>13.9</v>
      </c>
      <c r="S106" s="8">
        <v>462.84</v>
      </c>
      <c r="T106" s="8">
        <v>0</v>
      </c>
      <c r="U106" s="8">
        <v>462.84</v>
      </c>
      <c r="V106" s="6" t="s">
        <v>121</v>
      </c>
      <c r="W106" s="6" t="s">
        <v>420</v>
      </c>
    </row>
    <row r="107" spans="1:23" ht="22.35">
      <c r="A107" s="6">
        <v>104</v>
      </c>
      <c r="B107" s="7" t="s">
        <v>653</v>
      </c>
      <c r="C107" s="7" t="s">
        <v>121</v>
      </c>
      <c r="D107" s="6" t="s">
        <v>20</v>
      </c>
      <c r="E107" s="6" t="s">
        <v>654</v>
      </c>
      <c r="F107" s="6" t="s">
        <v>83</v>
      </c>
      <c r="G107" s="6" t="s">
        <v>655</v>
      </c>
      <c r="H107" s="7" t="s">
        <v>656</v>
      </c>
      <c r="I107" s="6" t="s">
        <v>73</v>
      </c>
      <c r="J107" s="6" t="s">
        <v>125</v>
      </c>
      <c r="K107" s="6">
        <v>60</v>
      </c>
      <c r="L107" s="6" t="s">
        <v>171</v>
      </c>
      <c r="M107" s="6" t="s">
        <v>16</v>
      </c>
      <c r="N107" s="6" t="s">
        <v>15</v>
      </c>
      <c r="O107" s="6" t="s">
        <v>29</v>
      </c>
      <c r="P107" s="6" t="s">
        <v>157</v>
      </c>
      <c r="Q107" s="6" t="s">
        <v>158</v>
      </c>
      <c r="R107" s="8">
        <v>10.8</v>
      </c>
      <c r="S107" s="8">
        <v>311.94</v>
      </c>
      <c r="T107" s="8">
        <v>0</v>
      </c>
      <c r="U107" s="8">
        <v>311.94</v>
      </c>
      <c r="V107" s="6" t="s">
        <v>121</v>
      </c>
      <c r="W107" s="6" t="s">
        <v>101</v>
      </c>
    </row>
    <row r="108" spans="1:23">
      <c r="A108" s="6">
        <v>105</v>
      </c>
      <c r="B108" s="7" t="s">
        <v>657</v>
      </c>
      <c r="C108" s="7" t="s">
        <v>121</v>
      </c>
      <c r="D108" s="6" t="s">
        <v>32</v>
      </c>
      <c r="E108" s="6" t="s">
        <v>658</v>
      </c>
      <c r="F108" s="6" t="s">
        <v>83</v>
      </c>
      <c r="G108" s="6" t="s">
        <v>659</v>
      </c>
      <c r="H108" s="7" t="s">
        <v>660</v>
      </c>
      <c r="I108" s="6" t="s">
        <v>147</v>
      </c>
      <c r="J108" s="6" t="s">
        <v>125</v>
      </c>
      <c r="K108" s="6">
        <v>40</v>
      </c>
      <c r="L108" s="6" t="s">
        <v>218</v>
      </c>
      <c r="M108" s="6" t="s">
        <v>8</v>
      </c>
      <c r="N108" s="6" t="s">
        <v>11</v>
      </c>
      <c r="O108" s="6" t="s">
        <v>33</v>
      </c>
      <c r="P108" s="6" t="s">
        <v>172</v>
      </c>
      <c r="Q108" s="6" t="s">
        <v>149</v>
      </c>
      <c r="R108" s="8">
        <v>5</v>
      </c>
      <c r="S108" s="8">
        <v>245.69</v>
      </c>
      <c r="T108" s="8">
        <v>0</v>
      </c>
      <c r="U108" s="8">
        <v>245.69</v>
      </c>
      <c r="V108" s="6" t="s">
        <v>121</v>
      </c>
      <c r="W108" s="6" t="s">
        <v>193</v>
      </c>
    </row>
    <row r="109" spans="1:23">
      <c r="A109" s="6">
        <v>106</v>
      </c>
      <c r="B109" s="7" t="s">
        <v>661</v>
      </c>
      <c r="C109" s="7" t="s">
        <v>121</v>
      </c>
      <c r="D109" s="6" t="s">
        <v>26</v>
      </c>
      <c r="E109" s="6" t="s">
        <v>662</v>
      </c>
      <c r="F109" s="6" t="s">
        <v>70</v>
      </c>
      <c r="G109" s="6" t="s">
        <v>663</v>
      </c>
      <c r="H109" s="7" t="s">
        <v>664</v>
      </c>
      <c r="I109" s="6" t="s">
        <v>86</v>
      </c>
      <c r="J109" s="6" t="s">
        <v>125</v>
      </c>
      <c r="K109" s="6">
        <v>40</v>
      </c>
      <c r="L109" s="6" t="s">
        <v>75</v>
      </c>
      <c r="M109" s="6" t="s">
        <v>17</v>
      </c>
      <c r="N109" s="6" t="s">
        <v>9</v>
      </c>
      <c r="O109" s="6" t="s">
        <v>21</v>
      </c>
      <c r="P109" s="6" t="s">
        <v>117</v>
      </c>
      <c r="Q109" s="6" t="s">
        <v>158</v>
      </c>
      <c r="R109" s="8">
        <v>4.0999999999999996</v>
      </c>
      <c r="S109" s="8">
        <v>145</v>
      </c>
      <c r="T109" s="8">
        <v>41.19</v>
      </c>
      <c r="U109" s="8">
        <v>186.19</v>
      </c>
      <c r="V109" s="6" t="s">
        <v>665</v>
      </c>
      <c r="W109" s="6" t="s">
        <v>207</v>
      </c>
    </row>
    <row r="110" spans="1:23">
      <c r="A110" s="6">
        <v>107</v>
      </c>
      <c r="B110" s="7" t="s">
        <v>666</v>
      </c>
      <c r="C110" s="7" t="s">
        <v>121</v>
      </c>
      <c r="D110" s="6" t="s">
        <v>28</v>
      </c>
      <c r="E110" s="6" t="s">
        <v>667</v>
      </c>
      <c r="F110" s="6" t="s">
        <v>70</v>
      </c>
      <c r="G110" s="6" t="s">
        <v>668</v>
      </c>
      <c r="H110" s="7" t="s">
        <v>669</v>
      </c>
      <c r="I110" s="6" t="s">
        <v>73</v>
      </c>
      <c r="J110" s="6" t="s">
        <v>125</v>
      </c>
      <c r="K110" s="6">
        <v>60</v>
      </c>
      <c r="L110" s="6" t="s">
        <v>107</v>
      </c>
      <c r="M110" s="6" t="s">
        <v>8</v>
      </c>
      <c r="N110" s="6" t="s">
        <v>9</v>
      </c>
      <c r="O110" s="6" t="s">
        <v>25</v>
      </c>
      <c r="P110" s="6" t="s">
        <v>108</v>
      </c>
      <c r="Q110" s="6" t="s">
        <v>206</v>
      </c>
      <c r="R110" s="8">
        <v>3.2</v>
      </c>
      <c r="S110" s="8">
        <v>85.73</v>
      </c>
      <c r="T110" s="8">
        <v>0</v>
      </c>
      <c r="U110" s="8">
        <v>85.73</v>
      </c>
      <c r="V110" s="6" t="s">
        <v>121</v>
      </c>
      <c r="W110" s="6" t="s">
        <v>251</v>
      </c>
    </row>
    <row r="111" spans="1:23">
      <c r="A111" s="6">
        <v>108</v>
      </c>
      <c r="B111" s="7" t="s">
        <v>670</v>
      </c>
      <c r="C111" s="7" t="s">
        <v>121</v>
      </c>
      <c r="D111" s="6" t="s">
        <v>28</v>
      </c>
      <c r="E111" s="6" t="s">
        <v>671</v>
      </c>
      <c r="F111" s="6" t="s">
        <v>83</v>
      </c>
      <c r="G111" s="6" t="s">
        <v>672</v>
      </c>
      <c r="H111" s="7" t="s">
        <v>673</v>
      </c>
      <c r="I111" s="6" t="s">
        <v>73</v>
      </c>
      <c r="J111" s="6" t="s">
        <v>87</v>
      </c>
      <c r="K111" s="6">
        <v>4000</v>
      </c>
      <c r="L111" s="6" t="s">
        <v>218</v>
      </c>
      <c r="M111" s="6" t="s">
        <v>10</v>
      </c>
      <c r="N111" s="6" t="s">
        <v>9</v>
      </c>
      <c r="O111" s="6" t="s">
        <v>29</v>
      </c>
      <c r="P111" s="6" t="s">
        <v>128</v>
      </c>
      <c r="Q111" s="6" t="s">
        <v>129</v>
      </c>
      <c r="R111" s="8">
        <v>4.9000000000000004</v>
      </c>
      <c r="S111" s="8">
        <v>122.37</v>
      </c>
      <c r="T111" s="8">
        <v>28.63</v>
      </c>
      <c r="U111" s="8">
        <v>151</v>
      </c>
      <c r="V111" s="6" t="s">
        <v>674</v>
      </c>
      <c r="W111" s="6" t="s">
        <v>251</v>
      </c>
    </row>
    <row r="112" spans="1:23">
      <c r="A112" s="6">
        <v>109</v>
      </c>
      <c r="B112" s="7" t="s">
        <v>675</v>
      </c>
      <c r="C112" s="7" t="s">
        <v>676</v>
      </c>
      <c r="D112" s="6" t="s">
        <v>42</v>
      </c>
      <c r="E112" s="6" t="s">
        <v>677</v>
      </c>
      <c r="F112" s="6" t="s">
        <v>83</v>
      </c>
      <c r="G112" s="6" t="s">
        <v>678</v>
      </c>
      <c r="H112" s="7" t="s">
        <v>679</v>
      </c>
      <c r="I112" s="6" t="s">
        <v>73</v>
      </c>
      <c r="J112" s="6" t="s">
        <v>74</v>
      </c>
      <c r="K112" s="6">
        <v>200</v>
      </c>
      <c r="L112" s="6" t="s">
        <v>327</v>
      </c>
      <c r="M112" s="6" t="s">
        <v>10</v>
      </c>
      <c r="N112" s="6" t="s">
        <v>9</v>
      </c>
      <c r="O112" s="6" t="s">
        <v>33</v>
      </c>
      <c r="P112" s="6" t="s">
        <v>117</v>
      </c>
      <c r="Q112" s="6" t="s">
        <v>158</v>
      </c>
      <c r="R112" s="8">
        <v>9.3000000000000007</v>
      </c>
      <c r="S112" s="8">
        <v>189.3</v>
      </c>
      <c r="T112" s="8">
        <v>34.61</v>
      </c>
      <c r="U112" s="8">
        <v>223.91</v>
      </c>
      <c r="V112" s="6" t="s">
        <v>105</v>
      </c>
      <c r="W112" s="6" t="s">
        <v>79</v>
      </c>
    </row>
    <row r="113" spans="1:23">
      <c r="A113" s="6">
        <v>110</v>
      </c>
      <c r="B113" s="7" t="s">
        <v>680</v>
      </c>
      <c r="C113" s="7" t="s">
        <v>121</v>
      </c>
      <c r="D113" s="6" t="s">
        <v>30</v>
      </c>
      <c r="E113" s="6" t="s">
        <v>681</v>
      </c>
      <c r="F113" s="6" t="s">
        <v>83</v>
      </c>
      <c r="G113" s="6" t="s">
        <v>682</v>
      </c>
      <c r="H113" s="7" t="s">
        <v>683</v>
      </c>
      <c r="I113" s="6" t="s">
        <v>86</v>
      </c>
      <c r="J113" s="6" t="s">
        <v>74</v>
      </c>
      <c r="K113" s="6">
        <v>400</v>
      </c>
      <c r="L113" s="6" t="s">
        <v>116</v>
      </c>
      <c r="M113" s="6" t="s">
        <v>8</v>
      </c>
      <c r="N113" s="6" t="s">
        <v>13</v>
      </c>
      <c r="O113" s="6" t="s">
        <v>35</v>
      </c>
      <c r="P113" s="6" t="s">
        <v>108</v>
      </c>
      <c r="Q113" s="6" t="s">
        <v>206</v>
      </c>
      <c r="R113" s="8">
        <v>6.6</v>
      </c>
      <c r="S113" s="8">
        <v>154.34</v>
      </c>
      <c r="T113" s="8">
        <v>0</v>
      </c>
      <c r="U113" s="8">
        <v>154.34</v>
      </c>
      <c r="V113" s="6" t="s">
        <v>121</v>
      </c>
      <c r="W113" s="6" t="s">
        <v>79</v>
      </c>
    </row>
    <row r="114" spans="1:23" ht="22.35">
      <c r="A114" s="6">
        <v>111</v>
      </c>
      <c r="B114" s="7" t="s">
        <v>684</v>
      </c>
      <c r="C114" s="7" t="s">
        <v>121</v>
      </c>
      <c r="D114" s="6" t="s">
        <v>36</v>
      </c>
      <c r="E114" s="6" t="s">
        <v>685</v>
      </c>
      <c r="F114" s="6" t="s">
        <v>83</v>
      </c>
      <c r="G114" s="6" t="s">
        <v>557</v>
      </c>
      <c r="H114" s="7" t="s">
        <v>686</v>
      </c>
      <c r="I114" s="6" t="s">
        <v>86</v>
      </c>
      <c r="J114" s="6" t="s">
        <v>74</v>
      </c>
      <c r="K114" s="6">
        <v>600</v>
      </c>
      <c r="L114" s="6" t="s">
        <v>163</v>
      </c>
      <c r="M114" s="6" t="s">
        <v>16</v>
      </c>
      <c r="N114" s="6" t="s">
        <v>9</v>
      </c>
      <c r="O114" s="6" t="s">
        <v>33</v>
      </c>
      <c r="P114" s="6" t="s">
        <v>117</v>
      </c>
      <c r="Q114" s="6" t="s">
        <v>158</v>
      </c>
      <c r="R114" s="8">
        <v>10.3</v>
      </c>
      <c r="S114" s="8">
        <v>243.87</v>
      </c>
      <c r="T114" s="8">
        <v>0</v>
      </c>
      <c r="U114" s="8">
        <v>243.87</v>
      </c>
      <c r="V114" s="6" t="s">
        <v>121</v>
      </c>
      <c r="W114" s="6" t="s">
        <v>391</v>
      </c>
    </row>
    <row r="115" spans="1:23">
      <c r="A115" s="6">
        <v>112</v>
      </c>
      <c r="B115" s="7" t="s">
        <v>687</v>
      </c>
      <c r="C115" s="7" t="s">
        <v>688</v>
      </c>
      <c r="D115" s="6" t="s">
        <v>32</v>
      </c>
      <c r="E115" s="6" t="s">
        <v>689</v>
      </c>
      <c r="F115" s="6" t="s">
        <v>83</v>
      </c>
      <c r="G115" s="6" t="s">
        <v>690</v>
      </c>
      <c r="H115" s="7" t="s">
        <v>691</v>
      </c>
      <c r="I115" s="6" t="s">
        <v>73</v>
      </c>
      <c r="J115" s="6" t="s">
        <v>125</v>
      </c>
      <c r="K115" s="6">
        <v>60</v>
      </c>
      <c r="L115" s="6" t="s">
        <v>138</v>
      </c>
      <c r="M115" s="6" t="s">
        <v>17</v>
      </c>
      <c r="N115" s="6" t="s">
        <v>13</v>
      </c>
      <c r="O115" s="6" t="s">
        <v>37</v>
      </c>
      <c r="P115" s="6" t="s">
        <v>128</v>
      </c>
      <c r="Q115" s="6" t="s">
        <v>129</v>
      </c>
      <c r="R115" s="8">
        <v>11.5</v>
      </c>
      <c r="S115" s="8">
        <v>140.35</v>
      </c>
      <c r="T115" s="8">
        <v>0.99</v>
      </c>
      <c r="U115" s="8">
        <v>141.34</v>
      </c>
      <c r="V115" s="6" t="s">
        <v>692</v>
      </c>
      <c r="W115" s="6" t="s">
        <v>444</v>
      </c>
    </row>
    <row r="116" spans="1:23" ht="22.35">
      <c r="A116" s="6">
        <v>113</v>
      </c>
      <c r="B116" s="7" t="s">
        <v>693</v>
      </c>
      <c r="C116" s="7" t="s">
        <v>694</v>
      </c>
      <c r="D116" s="6" t="s">
        <v>32</v>
      </c>
      <c r="E116" s="6" t="s">
        <v>695</v>
      </c>
      <c r="F116" s="6" t="s">
        <v>83</v>
      </c>
      <c r="G116" s="6" t="s">
        <v>696</v>
      </c>
      <c r="H116" s="7" t="s">
        <v>697</v>
      </c>
      <c r="I116" s="6" t="s">
        <v>73</v>
      </c>
      <c r="J116" s="6" t="s">
        <v>125</v>
      </c>
      <c r="K116" s="6">
        <v>40</v>
      </c>
      <c r="L116" s="6" t="s">
        <v>75</v>
      </c>
      <c r="M116" s="6" t="s">
        <v>16</v>
      </c>
      <c r="N116" s="6" t="s">
        <v>9</v>
      </c>
      <c r="O116" s="6" t="s">
        <v>29</v>
      </c>
      <c r="P116" s="6" t="s">
        <v>172</v>
      </c>
      <c r="Q116" s="6" t="s">
        <v>149</v>
      </c>
      <c r="R116" s="8">
        <v>4.2</v>
      </c>
      <c r="S116" s="8">
        <v>66.64</v>
      </c>
      <c r="T116" s="8">
        <v>0</v>
      </c>
      <c r="U116" s="8">
        <v>66.64</v>
      </c>
      <c r="V116" s="6" t="s">
        <v>121</v>
      </c>
      <c r="W116" s="6" t="s">
        <v>284</v>
      </c>
    </row>
    <row r="117" spans="1:23">
      <c r="A117" s="6">
        <v>114</v>
      </c>
      <c r="B117" s="7" t="s">
        <v>698</v>
      </c>
      <c r="C117" s="7" t="s">
        <v>121</v>
      </c>
      <c r="D117" s="6" t="s">
        <v>32</v>
      </c>
      <c r="E117" s="6" t="s">
        <v>699</v>
      </c>
      <c r="F117" s="6" t="s">
        <v>345</v>
      </c>
      <c r="G117" s="6" t="s">
        <v>700</v>
      </c>
      <c r="H117" s="7" t="s">
        <v>701</v>
      </c>
      <c r="I117" s="6" t="s">
        <v>137</v>
      </c>
      <c r="J117" s="6" t="s">
        <v>87</v>
      </c>
      <c r="K117" s="6">
        <v>4000</v>
      </c>
      <c r="L117" s="6" t="s">
        <v>163</v>
      </c>
      <c r="M117" s="6" t="s">
        <v>8</v>
      </c>
      <c r="N117" s="6" t="s">
        <v>13</v>
      </c>
      <c r="O117" s="6" t="s">
        <v>39</v>
      </c>
      <c r="P117" s="6" t="s">
        <v>172</v>
      </c>
      <c r="Q117" s="6" t="s">
        <v>149</v>
      </c>
      <c r="R117" s="8">
        <v>0</v>
      </c>
      <c r="S117" s="8">
        <v>1.1299999999999999</v>
      </c>
      <c r="T117" s="8">
        <v>0</v>
      </c>
      <c r="U117" s="8">
        <v>1.1299999999999999</v>
      </c>
      <c r="V117" s="6" t="s">
        <v>121</v>
      </c>
      <c r="W117" s="6" t="s">
        <v>511</v>
      </c>
    </row>
    <row r="118" spans="1:23">
      <c r="A118" s="6">
        <v>115</v>
      </c>
      <c r="B118" s="7" t="s">
        <v>702</v>
      </c>
      <c r="C118" s="7" t="s">
        <v>121</v>
      </c>
      <c r="D118" s="6" t="s">
        <v>24</v>
      </c>
      <c r="E118" s="6" t="s">
        <v>703</v>
      </c>
      <c r="F118" s="6" t="s">
        <v>70</v>
      </c>
      <c r="G118" s="6" t="s">
        <v>704</v>
      </c>
      <c r="H118" s="7" t="s">
        <v>705</v>
      </c>
      <c r="I118" s="6" t="s">
        <v>396</v>
      </c>
      <c r="J118" s="6" t="s">
        <v>125</v>
      </c>
      <c r="K118" s="6">
        <v>6</v>
      </c>
      <c r="L118" s="6" t="s">
        <v>97</v>
      </c>
      <c r="M118" s="6" t="s">
        <v>10</v>
      </c>
      <c r="N118" s="6" t="s">
        <v>11</v>
      </c>
      <c r="O118" s="6" t="s">
        <v>41</v>
      </c>
      <c r="P118" s="6" t="s">
        <v>192</v>
      </c>
      <c r="Q118" s="6" t="s">
        <v>129</v>
      </c>
      <c r="R118" s="8">
        <v>0</v>
      </c>
      <c r="S118" s="8">
        <v>0.21</v>
      </c>
      <c r="T118" s="8">
        <v>45.91</v>
      </c>
      <c r="U118" s="8">
        <v>46.12</v>
      </c>
      <c r="V118" s="6" t="s">
        <v>706</v>
      </c>
      <c r="W118" s="6" t="s">
        <v>219</v>
      </c>
    </row>
    <row r="119" spans="1:23">
      <c r="A119" s="6">
        <v>116</v>
      </c>
      <c r="B119" s="7" t="s">
        <v>707</v>
      </c>
      <c r="C119" s="7" t="s">
        <v>121</v>
      </c>
      <c r="D119" s="6" t="s">
        <v>22</v>
      </c>
      <c r="E119" s="6" t="s">
        <v>708</v>
      </c>
      <c r="F119" s="6" t="s">
        <v>83</v>
      </c>
      <c r="G119" s="6" t="s">
        <v>709</v>
      </c>
      <c r="H119" s="7" t="s">
        <v>710</v>
      </c>
      <c r="I119" s="6" t="s">
        <v>396</v>
      </c>
      <c r="J119" s="6" t="s">
        <v>125</v>
      </c>
      <c r="K119" s="6">
        <v>40</v>
      </c>
      <c r="L119" s="6" t="s">
        <v>218</v>
      </c>
      <c r="M119" s="6" t="s">
        <v>12</v>
      </c>
      <c r="N119" s="6" t="s">
        <v>9</v>
      </c>
      <c r="O119" s="6" t="s">
        <v>21</v>
      </c>
      <c r="P119" s="6" t="s">
        <v>256</v>
      </c>
      <c r="Q119" s="6" t="s">
        <v>149</v>
      </c>
      <c r="R119" s="8">
        <v>0</v>
      </c>
      <c r="S119" s="8">
        <v>4.1100000000000003</v>
      </c>
      <c r="T119" s="8">
        <v>40.39</v>
      </c>
      <c r="U119" s="8">
        <v>44.5</v>
      </c>
      <c r="V119" s="6" t="s">
        <v>711</v>
      </c>
      <c r="W119" s="6" t="s">
        <v>131</v>
      </c>
    </row>
    <row r="120" spans="1:23">
      <c r="A120" s="6">
        <v>117</v>
      </c>
      <c r="B120" s="7" t="s">
        <v>712</v>
      </c>
      <c r="C120" s="7" t="s">
        <v>121</v>
      </c>
      <c r="D120" s="6" t="s">
        <v>30</v>
      </c>
      <c r="E120" s="6" t="s">
        <v>713</v>
      </c>
      <c r="F120" s="6" t="s">
        <v>70</v>
      </c>
      <c r="G120" s="6" t="s">
        <v>714</v>
      </c>
      <c r="H120" s="7" t="s">
        <v>715</v>
      </c>
      <c r="I120" s="6" t="s">
        <v>73</v>
      </c>
      <c r="J120" s="6" t="s">
        <v>125</v>
      </c>
      <c r="K120" s="6">
        <v>6</v>
      </c>
      <c r="L120" s="6" t="s">
        <v>126</v>
      </c>
      <c r="M120" s="6" t="s">
        <v>12</v>
      </c>
      <c r="N120" s="6" t="s">
        <v>15</v>
      </c>
      <c r="O120" s="6" t="s">
        <v>29</v>
      </c>
      <c r="P120" s="6" t="s">
        <v>172</v>
      </c>
      <c r="Q120" s="6" t="s">
        <v>149</v>
      </c>
      <c r="R120" s="8">
        <v>4.8</v>
      </c>
      <c r="S120" s="8">
        <v>67.97</v>
      </c>
      <c r="T120" s="8">
        <v>47.08</v>
      </c>
      <c r="U120" s="8">
        <v>115.05</v>
      </c>
      <c r="V120" s="6" t="s">
        <v>716</v>
      </c>
      <c r="W120" s="6" t="s">
        <v>242</v>
      </c>
    </row>
    <row r="121" spans="1:23">
      <c r="A121" s="6">
        <v>118</v>
      </c>
      <c r="B121" s="7" t="s">
        <v>717</v>
      </c>
      <c r="C121" s="7" t="s">
        <v>121</v>
      </c>
      <c r="D121" s="6" t="s">
        <v>34</v>
      </c>
      <c r="E121" s="6" t="s">
        <v>718</v>
      </c>
      <c r="F121" s="6" t="s">
        <v>70</v>
      </c>
      <c r="G121" s="6" t="s">
        <v>719</v>
      </c>
      <c r="H121" s="7" t="s">
        <v>720</v>
      </c>
      <c r="I121" s="6" t="s">
        <v>147</v>
      </c>
      <c r="J121" s="6" t="s">
        <v>74</v>
      </c>
      <c r="K121" s="6">
        <v>400</v>
      </c>
      <c r="L121" s="6" t="s">
        <v>241</v>
      </c>
      <c r="M121" s="6" t="s">
        <v>10</v>
      </c>
      <c r="N121" s="6" t="s">
        <v>15</v>
      </c>
      <c r="O121" s="6" t="s">
        <v>127</v>
      </c>
      <c r="P121" s="6" t="s">
        <v>108</v>
      </c>
      <c r="Q121" s="6" t="s">
        <v>206</v>
      </c>
      <c r="R121" s="8">
        <v>9.1999999999999993</v>
      </c>
      <c r="S121" s="8">
        <v>340.38</v>
      </c>
      <c r="T121" s="8">
        <v>15.25</v>
      </c>
      <c r="U121" s="8">
        <v>355.63</v>
      </c>
      <c r="V121" s="6" t="s">
        <v>721</v>
      </c>
      <c r="W121" s="6" t="s">
        <v>91</v>
      </c>
    </row>
    <row r="122" spans="1:23">
      <c r="A122" s="6">
        <v>119</v>
      </c>
      <c r="B122" s="7" t="s">
        <v>722</v>
      </c>
      <c r="C122" s="7" t="s">
        <v>121</v>
      </c>
      <c r="D122" s="6" t="s">
        <v>36</v>
      </c>
      <c r="E122" s="6" t="s">
        <v>723</v>
      </c>
      <c r="F122" s="6" t="s">
        <v>83</v>
      </c>
      <c r="G122" s="6" t="s">
        <v>250</v>
      </c>
      <c r="H122" s="7" t="s">
        <v>724</v>
      </c>
      <c r="I122" s="6" t="s">
        <v>137</v>
      </c>
      <c r="J122" s="6" t="s">
        <v>125</v>
      </c>
      <c r="K122" s="6">
        <v>6</v>
      </c>
      <c r="L122" s="6" t="s">
        <v>218</v>
      </c>
      <c r="M122" s="6" t="s">
        <v>12</v>
      </c>
      <c r="N122" s="6" t="s">
        <v>11</v>
      </c>
      <c r="O122" s="6" t="s">
        <v>41</v>
      </c>
      <c r="P122" s="6" t="s">
        <v>99</v>
      </c>
      <c r="Q122" s="6" t="s">
        <v>139</v>
      </c>
      <c r="R122" s="8">
        <v>0</v>
      </c>
      <c r="S122" s="8">
        <v>4.43</v>
      </c>
      <c r="T122" s="8">
        <v>15.52</v>
      </c>
      <c r="U122" s="8">
        <v>19.95</v>
      </c>
      <c r="V122" s="6" t="s">
        <v>725</v>
      </c>
      <c r="W122" s="6" t="s">
        <v>263</v>
      </c>
    </row>
    <row r="123" spans="1:23">
      <c r="A123" s="6">
        <v>120</v>
      </c>
      <c r="B123" s="7" t="s">
        <v>726</v>
      </c>
      <c r="C123" s="7" t="s">
        <v>727</v>
      </c>
      <c r="D123" s="6" t="s">
        <v>26</v>
      </c>
      <c r="E123" s="6" t="s">
        <v>728</v>
      </c>
      <c r="F123" s="6" t="s">
        <v>83</v>
      </c>
      <c r="G123" s="6" t="s">
        <v>729</v>
      </c>
      <c r="H123" s="7" t="s">
        <v>730</v>
      </c>
      <c r="I123" s="6" t="s">
        <v>86</v>
      </c>
      <c r="J123" s="6" t="s">
        <v>125</v>
      </c>
      <c r="K123" s="6">
        <v>40</v>
      </c>
      <c r="L123" s="6" t="s">
        <v>241</v>
      </c>
      <c r="M123" s="6" t="s">
        <v>10</v>
      </c>
      <c r="N123" s="6" t="s">
        <v>9</v>
      </c>
      <c r="O123" s="6" t="s">
        <v>33</v>
      </c>
      <c r="P123" s="6" t="s">
        <v>148</v>
      </c>
      <c r="Q123" s="6" t="s">
        <v>149</v>
      </c>
      <c r="R123" s="8">
        <v>18.399999999999999</v>
      </c>
      <c r="S123" s="8">
        <v>594.02</v>
      </c>
      <c r="T123" s="8">
        <v>47.42</v>
      </c>
      <c r="U123" s="8">
        <v>641.44000000000005</v>
      </c>
      <c r="V123" s="6" t="s">
        <v>731</v>
      </c>
      <c r="W123" s="6" t="s">
        <v>444</v>
      </c>
    </row>
    <row r="124" spans="1:23">
      <c r="A124" s="6">
        <v>121</v>
      </c>
      <c r="B124" s="7" t="s">
        <v>732</v>
      </c>
      <c r="C124" s="7" t="s">
        <v>121</v>
      </c>
      <c r="D124" s="6" t="s">
        <v>26</v>
      </c>
      <c r="E124" s="6" t="s">
        <v>733</v>
      </c>
      <c r="F124" s="6" t="s">
        <v>70</v>
      </c>
      <c r="G124" s="6" t="s">
        <v>734</v>
      </c>
      <c r="H124" s="7" t="s">
        <v>735</v>
      </c>
      <c r="I124" s="6" t="s">
        <v>147</v>
      </c>
      <c r="J124" s="6" t="s">
        <v>74</v>
      </c>
      <c r="K124" s="6">
        <v>400</v>
      </c>
      <c r="L124" s="6" t="s">
        <v>171</v>
      </c>
      <c r="M124" s="6" t="s">
        <v>12</v>
      </c>
      <c r="N124" s="6" t="s">
        <v>13</v>
      </c>
      <c r="O124" s="6" t="s">
        <v>37</v>
      </c>
      <c r="P124" s="6" t="s">
        <v>172</v>
      </c>
      <c r="Q124" s="6" t="s">
        <v>149</v>
      </c>
      <c r="R124" s="8">
        <v>19.100000000000001</v>
      </c>
      <c r="S124" s="8">
        <v>449.03</v>
      </c>
      <c r="T124" s="8">
        <v>31.19</v>
      </c>
      <c r="U124" s="8">
        <v>480.22</v>
      </c>
      <c r="V124" s="6" t="s">
        <v>690</v>
      </c>
      <c r="W124" s="6" t="s">
        <v>151</v>
      </c>
    </row>
    <row r="125" spans="1:23">
      <c r="A125" s="6">
        <v>122</v>
      </c>
      <c r="B125" s="7" t="s">
        <v>736</v>
      </c>
      <c r="C125" s="7" t="s">
        <v>121</v>
      </c>
      <c r="D125" s="6" t="s">
        <v>24</v>
      </c>
      <c r="E125" s="6" t="s">
        <v>737</v>
      </c>
      <c r="F125" s="6" t="s">
        <v>70</v>
      </c>
      <c r="G125" s="6" t="s">
        <v>442</v>
      </c>
      <c r="H125" s="7" t="s">
        <v>738</v>
      </c>
      <c r="I125" s="6" t="s">
        <v>86</v>
      </c>
      <c r="J125" s="6" t="s">
        <v>125</v>
      </c>
      <c r="K125" s="6">
        <v>40</v>
      </c>
      <c r="L125" s="6" t="s">
        <v>218</v>
      </c>
      <c r="M125" s="6" t="s">
        <v>12</v>
      </c>
      <c r="N125" s="6" t="s">
        <v>9</v>
      </c>
      <c r="O125" s="6" t="s">
        <v>27</v>
      </c>
      <c r="P125" s="6" t="s">
        <v>99</v>
      </c>
      <c r="Q125" s="6" t="s">
        <v>139</v>
      </c>
      <c r="R125" s="8">
        <v>6.1</v>
      </c>
      <c r="S125" s="8">
        <v>249.18</v>
      </c>
      <c r="T125" s="8">
        <v>49.49</v>
      </c>
      <c r="U125" s="8">
        <v>298.67</v>
      </c>
      <c r="V125" s="6" t="s">
        <v>739</v>
      </c>
      <c r="W125" s="6" t="s">
        <v>444</v>
      </c>
    </row>
    <row r="126" spans="1:23">
      <c r="A126" s="6">
        <v>123</v>
      </c>
      <c r="B126" s="7" t="s">
        <v>740</v>
      </c>
      <c r="C126" s="7" t="s">
        <v>121</v>
      </c>
      <c r="D126" s="6" t="s">
        <v>24</v>
      </c>
      <c r="E126" s="6" t="s">
        <v>741</v>
      </c>
      <c r="F126" s="6" t="s">
        <v>70</v>
      </c>
      <c r="G126" s="6" t="s">
        <v>742</v>
      </c>
      <c r="H126" s="7" t="s">
        <v>743</v>
      </c>
      <c r="I126" s="6" t="s">
        <v>86</v>
      </c>
      <c r="J126" s="6" t="s">
        <v>125</v>
      </c>
      <c r="K126" s="6">
        <v>60</v>
      </c>
      <c r="L126" s="6" t="s">
        <v>163</v>
      </c>
      <c r="M126" s="6" t="s">
        <v>8</v>
      </c>
      <c r="N126" s="6" t="s">
        <v>11</v>
      </c>
      <c r="O126" s="6" t="s">
        <v>43</v>
      </c>
      <c r="P126" s="6" t="s">
        <v>256</v>
      </c>
      <c r="Q126" s="6" t="s">
        <v>149</v>
      </c>
      <c r="R126" s="8">
        <v>3.1</v>
      </c>
      <c r="S126" s="8">
        <v>114.68</v>
      </c>
      <c r="T126" s="8">
        <v>0</v>
      </c>
      <c r="U126" s="8">
        <v>114.68</v>
      </c>
      <c r="V126" s="6" t="s">
        <v>121</v>
      </c>
      <c r="W126" s="6" t="s">
        <v>744</v>
      </c>
    </row>
    <row r="127" spans="1:23" ht="22.35">
      <c r="A127" s="6">
        <v>124</v>
      </c>
      <c r="B127" s="7" t="s">
        <v>745</v>
      </c>
      <c r="C127" s="7" t="s">
        <v>121</v>
      </c>
      <c r="D127" s="6" t="s">
        <v>26</v>
      </c>
      <c r="E127" s="6" t="s">
        <v>746</v>
      </c>
      <c r="F127" s="6" t="s">
        <v>70</v>
      </c>
      <c r="G127" s="6" t="s">
        <v>747</v>
      </c>
      <c r="H127" s="7" t="s">
        <v>748</v>
      </c>
      <c r="I127" s="6" t="s">
        <v>86</v>
      </c>
      <c r="J127" s="6" t="s">
        <v>125</v>
      </c>
      <c r="K127" s="6">
        <v>60</v>
      </c>
      <c r="L127" s="6" t="s">
        <v>126</v>
      </c>
      <c r="M127" s="6" t="s">
        <v>16</v>
      </c>
      <c r="N127" s="6" t="s">
        <v>13</v>
      </c>
      <c r="O127" s="6" t="s">
        <v>35</v>
      </c>
      <c r="P127" s="6" t="s">
        <v>433</v>
      </c>
      <c r="Q127" s="6" t="s">
        <v>434</v>
      </c>
      <c r="R127" s="8">
        <v>5.7</v>
      </c>
      <c r="S127" s="8">
        <v>158.25</v>
      </c>
      <c r="T127" s="8">
        <v>0</v>
      </c>
      <c r="U127" s="8">
        <v>158.25</v>
      </c>
      <c r="V127" s="6" t="s">
        <v>121</v>
      </c>
      <c r="W127" s="6" t="s">
        <v>257</v>
      </c>
    </row>
    <row r="128" spans="1:23">
      <c r="A128" s="6">
        <v>125</v>
      </c>
      <c r="B128" s="7" t="s">
        <v>749</v>
      </c>
      <c r="C128" s="7" t="s">
        <v>121</v>
      </c>
      <c r="D128" s="6" t="s">
        <v>20</v>
      </c>
      <c r="E128" s="6" t="s">
        <v>750</v>
      </c>
      <c r="F128" s="6" t="s">
        <v>83</v>
      </c>
      <c r="G128" s="6" t="s">
        <v>751</v>
      </c>
      <c r="H128" s="7" t="s">
        <v>752</v>
      </c>
      <c r="I128" s="6" t="s">
        <v>137</v>
      </c>
      <c r="J128" s="6" t="s">
        <v>74</v>
      </c>
      <c r="K128" s="6">
        <v>200</v>
      </c>
      <c r="L128" s="6" t="s">
        <v>171</v>
      </c>
      <c r="M128" s="6" t="s">
        <v>14</v>
      </c>
      <c r="N128" s="6" t="s">
        <v>13</v>
      </c>
      <c r="O128" s="6" t="s">
        <v>39</v>
      </c>
      <c r="P128" s="6" t="s">
        <v>157</v>
      </c>
      <c r="Q128" s="6" t="s">
        <v>158</v>
      </c>
      <c r="R128" s="8">
        <v>0</v>
      </c>
      <c r="S128" s="8">
        <v>3.14</v>
      </c>
      <c r="T128" s="8">
        <v>0</v>
      </c>
      <c r="U128" s="8">
        <v>3.14</v>
      </c>
      <c r="V128" s="6" t="s">
        <v>121</v>
      </c>
      <c r="W128" s="6" t="s">
        <v>242</v>
      </c>
    </row>
    <row r="129" spans="1:23">
      <c r="A129" s="6">
        <v>126</v>
      </c>
      <c r="B129" s="7" t="s">
        <v>753</v>
      </c>
      <c r="C129" s="7" t="s">
        <v>121</v>
      </c>
      <c r="D129" s="6" t="s">
        <v>22</v>
      </c>
      <c r="E129" s="6" t="s">
        <v>754</v>
      </c>
      <c r="F129" s="6" t="s">
        <v>83</v>
      </c>
      <c r="G129" s="6" t="s">
        <v>755</v>
      </c>
      <c r="H129" s="7" t="s">
        <v>756</v>
      </c>
      <c r="I129" s="6" t="s">
        <v>73</v>
      </c>
      <c r="J129" s="6" t="s">
        <v>125</v>
      </c>
      <c r="K129" s="6">
        <v>6</v>
      </c>
      <c r="L129" s="6" t="s">
        <v>241</v>
      </c>
      <c r="M129" s="6" t="s">
        <v>8</v>
      </c>
      <c r="N129" s="6" t="s">
        <v>11</v>
      </c>
      <c r="O129" s="6" t="s">
        <v>41</v>
      </c>
      <c r="P129" s="6" t="s">
        <v>99</v>
      </c>
      <c r="Q129" s="6" t="s">
        <v>139</v>
      </c>
      <c r="R129" s="8">
        <v>4.9000000000000004</v>
      </c>
      <c r="S129" s="8">
        <v>98.68</v>
      </c>
      <c r="T129" s="8">
        <v>0</v>
      </c>
      <c r="U129" s="8">
        <v>98.68</v>
      </c>
      <c r="V129" s="6" t="s">
        <v>121</v>
      </c>
      <c r="W129" s="6" t="s">
        <v>193</v>
      </c>
    </row>
    <row r="130" spans="1:23">
      <c r="A130" s="6">
        <v>127</v>
      </c>
      <c r="B130" s="7" t="s">
        <v>757</v>
      </c>
      <c r="C130" s="7" t="s">
        <v>121</v>
      </c>
      <c r="D130" s="6" t="s">
        <v>26</v>
      </c>
      <c r="E130" s="6" t="s">
        <v>758</v>
      </c>
      <c r="F130" s="6" t="s">
        <v>83</v>
      </c>
      <c r="G130" s="6" t="s">
        <v>759</v>
      </c>
      <c r="H130" s="7" t="s">
        <v>760</v>
      </c>
      <c r="I130" s="6" t="s">
        <v>137</v>
      </c>
      <c r="J130" s="6" t="s">
        <v>74</v>
      </c>
      <c r="K130" s="6">
        <v>400</v>
      </c>
      <c r="L130" s="6" t="s">
        <v>116</v>
      </c>
      <c r="M130" s="6" t="s">
        <v>12</v>
      </c>
      <c r="N130" s="6" t="s">
        <v>13</v>
      </c>
      <c r="O130" s="6" t="s">
        <v>425</v>
      </c>
      <c r="P130" s="6" t="s">
        <v>172</v>
      </c>
      <c r="Q130" s="6" t="s">
        <v>149</v>
      </c>
      <c r="R130" s="8">
        <v>0</v>
      </c>
      <c r="S130" s="8">
        <v>1.86</v>
      </c>
      <c r="T130" s="8">
        <v>47.73</v>
      </c>
      <c r="U130" s="8">
        <v>49.59</v>
      </c>
      <c r="V130" s="6" t="s">
        <v>761</v>
      </c>
      <c r="W130" s="6" t="s">
        <v>263</v>
      </c>
    </row>
    <row r="131" spans="1:23">
      <c r="A131" s="6">
        <v>128</v>
      </c>
      <c r="B131" s="7" t="s">
        <v>762</v>
      </c>
      <c r="C131" s="7" t="s">
        <v>121</v>
      </c>
      <c r="D131" s="6" t="s">
        <v>26</v>
      </c>
      <c r="E131" s="6" t="s">
        <v>763</v>
      </c>
      <c r="F131" s="6" t="s">
        <v>70</v>
      </c>
      <c r="G131" s="6" t="s">
        <v>764</v>
      </c>
      <c r="H131" s="7" t="s">
        <v>765</v>
      </c>
      <c r="I131" s="6" t="s">
        <v>73</v>
      </c>
      <c r="J131" s="6" t="s">
        <v>87</v>
      </c>
      <c r="K131" s="6">
        <v>2000</v>
      </c>
      <c r="L131" s="6" t="s">
        <v>97</v>
      </c>
      <c r="M131" s="6" t="s">
        <v>14</v>
      </c>
      <c r="N131" s="6" t="s">
        <v>13</v>
      </c>
      <c r="O131" s="6" t="s">
        <v>39</v>
      </c>
      <c r="P131" s="6" t="s">
        <v>148</v>
      </c>
      <c r="Q131" s="6" t="s">
        <v>149</v>
      </c>
      <c r="R131" s="8">
        <v>2.4</v>
      </c>
      <c r="S131" s="8">
        <v>36.51</v>
      </c>
      <c r="T131" s="8">
        <v>0</v>
      </c>
      <c r="U131" s="8">
        <v>36.51</v>
      </c>
      <c r="V131" s="6" t="s">
        <v>121</v>
      </c>
      <c r="W131" s="6" t="s">
        <v>368</v>
      </c>
    </row>
    <row r="132" spans="1:23">
      <c r="A132" s="6">
        <v>129</v>
      </c>
      <c r="B132" s="7" t="s">
        <v>766</v>
      </c>
      <c r="C132" s="7" t="s">
        <v>767</v>
      </c>
      <c r="D132" s="6" t="s">
        <v>26</v>
      </c>
      <c r="E132" s="6" t="s">
        <v>768</v>
      </c>
      <c r="F132" s="6" t="s">
        <v>83</v>
      </c>
      <c r="G132" s="6" t="s">
        <v>769</v>
      </c>
      <c r="H132" s="7" t="s">
        <v>770</v>
      </c>
      <c r="I132" s="6" t="s">
        <v>73</v>
      </c>
      <c r="J132" s="6" t="s">
        <v>125</v>
      </c>
      <c r="K132" s="6">
        <v>6</v>
      </c>
      <c r="L132" s="6" t="s">
        <v>199</v>
      </c>
      <c r="M132" s="6" t="s">
        <v>8</v>
      </c>
      <c r="N132" s="6" t="s">
        <v>9</v>
      </c>
      <c r="O132" s="6" t="s">
        <v>25</v>
      </c>
      <c r="P132" s="6" t="s">
        <v>433</v>
      </c>
      <c r="Q132" s="6" t="s">
        <v>434</v>
      </c>
      <c r="R132" s="8">
        <v>14.7</v>
      </c>
      <c r="S132" s="8">
        <v>323.93</v>
      </c>
      <c r="T132" s="8">
        <v>0</v>
      </c>
      <c r="U132" s="8">
        <v>323.93</v>
      </c>
      <c r="V132" s="6" t="s">
        <v>121</v>
      </c>
      <c r="W132" s="6" t="s">
        <v>511</v>
      </c>
    </row>
    <row r="133" spans="1:23">
      <c r="A133" s="6">
        <v>130</v>
      </c>
      <c r="B133" s="7" t="s">
        <v>771</v>
      </c>
      <c r="C133" s="7" t="s">
        <v>772</v>
      </c>
      <c r="D133" s="6" t="s">
        <v>38</v>
      </c>
      <c r="E133" s="6" t="s">
        <v>773</v>
      </c>
      <c r="F133" s="6" t="s">
        <v>83</v>
      </c>
      <c r="G133" s="6" t="s">
        <v>774</v>
      </c>
      <c r="H133" s="7" t="s">
        <v>775</v>
      </c>
      <c r="I133" s="6" t="s">
        <v>73</v>
      </c>
      <c r="J133" s="6" t="s">
        <v>125</v>
      </c>
      <c r="K133" s="6">
        <v>40</v>
      </c>
      <c r="L133" s="6" t="s">
        <v>327</v>
      </c>
      <c r="M133" s="6" t="s">
        <v>10</v>
      </c>
      <c r="N133" s="6" t="s">
        <v>13</v>
      </c>
      <c r="O133" s="6" t="s">
        <v>425</v>
      </c>
      <c r="P133" s="6" t="s">
        <v>117</v>
      </c>
      <c r="Q133" s="6" t="s">
        <v>158</v>
      </c>
      <c r="R133" s="8">
        <v>16.3</v>
      </c>
      <c r="S133" s="8">
        <v>257.58999999999997</v>
      </c>
      <c r="T133" s="8">
        <v>24.38</v>
      </c>
      <c r="U133" s="8">
        <v>281.97000000000003</v>
      </c>
      <c r="V133" s="6" t="s">
        <v>776</v>
      </c>
      <c r="W133" s="6" t="s">
        <v>420</v>
      </c>
    </row>
    <row r="134" spans="1:23" ht="22.35">
      <c r="A134" s="6">
        <v>131</v>
      </c>
      <c r="B134" s="7" t="s">
        <v>777</v>
      </c>
      <c r="C134" s="7" t="s">
        <v>121</v>
      </c>
      <c r="D134" s="6" t="s">
        <v>26</v>
      </c>
      <c r="E134" s="6" t="s">
        <v>778</v>
      </c>
      <c r="F134" s="6" t="s">
        <v>345</v>
      </c>
      <c r="G134" s="6" t="s">
        <v>212</v>
      </c>
      <c r="H134" s="7" t="s">
        <v>779</v>
      </c>
      <c r="I134" s="6" t="s">
        <v>73</v>
      </c>
      <c r="J134" s="6" t="s">
        <v>125</v>
      </c>
      <c r="K134" s="6">
        <v>60</v>
      </c>
      <c r="L134" s="6" t="s">
        <v>241</v>
      </c>
      <c r="M134" s="6" t="s">
        <v>16</v>
      </c>
      <c r="N134" s="6" t="s">
        <v>13</v>
      </c>
      <c r="O134" s="6" t="s">
        <v>39</v>
      </c>
      <c r="P134" s="6" t="s">
        <v>185</v>
      </c>
      <c r="Q134" s="6" t="s">
        <v>186</v>
      </c>
      <c r="R134" s="8">
        <v>3.3</v>
      </c>
      <c r="S134" s="8">
        <v>93.35</v>
      </c>
      <c r="T134" s="8">
        <v>0</v>
      </c>
      <c r="U134" s="8">
        <v>93.35</v>
      </c>
      <c r="V134" s="6" t="s">
        <v>121</v>
      </c>
      <c r="W134" s="6" t="s">
        <v>291</v>
      </c>
    </row>
    <row r="135" spans="1:23">
      <c r="A135" s="6">
        <v>132</v>
      </c>
      <c r="B135" s="7" t="s">
        <v>780</v>
      </c>
      <c r="C135" s="7" t="s">
        <v>781</v>
      </c>
      <c r="D135" s="6" t="s">
        <v>40</v>
      </c>
      <c r="E135" s="6" t="s">
        <v>782</v>
      </c>
      <c r="F135" s="6" t="s">
        <v>83</v>
      </c>
      <c r="G135" s="6" t="s">
        <v>739</v>
      </c>
      <c r="H135" s="7" t="s">
        <v>783</v>
      </c>
      <c r="I135" s="6" t="s">
        <v>86</v>
      </c>
      <c r="J135" s="6" t="s">
        <v>74</v>
      </c>
      <c r="K135" s="6">
        <v>400</v>
      </c>
      <c r="L135" s="6" t="s">
        <v>241</v>
      </c>
      <c r="M135" s="6" t="s">
        <v>8</v>
      </c>
      <c r="N135" s="6" t="s">
        <v>15</v>
      </c>
      <c r="O135" s="6" t="s">
        <v>127</v>
      </c>
      <c r="P135" s="6" t="s">
        <v>99</v>
      </c>
      <c r="Q135" s="6" t="s">
        <v>139</v>
      </c>
      <c r="R135" s="8">
        <v>5.3</v>
      </c>
      <c r="S135" s="8">
        <v>136.28</v>
      </c>
      <c r="T135" s="8">
        <v>0</v>
      </c>
      <c r="U135" s="8">
        <v>136.28</v>
      </c>
      <c r="V135" s="6" t="s">
        <v>121</v>
      </c>
      <c r="W135" s="6" t="s">
        <v>141</v>
      </c>
    </row>
    <row r="136" spans="1:23">
      <c r="A136" s="6">
        <v>133</v>
      </c>
      <c r="B136" s="7" t="s">
        <v>784</v>
      </c>
      <c r="C136" s="7" t="s">
        <v>785</v>
      </c>
      <c r="D136" s="6" t="s">
        <v>20</v>
      </c>
      <c r="E136" s="6" t="s">
        <v>786</v>
      </c>
      <c r="F136" s="6" t="s">
        <v>83</v>
      </c>
      <c r="G136" s="6" t="s">
        <v>787</v>
      </c>
      <c r="H136" s="7" t="s">
        <v>788</v>
      </c>
      <c r="I136" s="6" t="s">
        <v>137</v>
      </c>
      <c r="J136" s="6" t="s">
        <v>74</v>
      </c>
      <c r="K136" s="6">
        <v>600</v>
      </c>
      <c r="L136" s="6" t="s">
        <v>116</v>
      </c>
      <c r="M136" s="6" t="s">
        <v>12</v>
      </c>
      <c r="N136" s="6" t="s">
        <v>13</v>
      </c>
      <c r="O136" s="6" t="s">
        <v>39</v>
      </c>
      <c r="P136" s="6" t="s">
        <v>192</v>
      </c>
      <c r="Q136" s="6" t="s">
        <v>129</v>
      </c>
      <c r="R136" s="8">
        <v>0</v>
      </c>
      <c r="S136" s="8">
        <v>3.89</v>
      </c>
      <c r="T136" s="8">
        <v>46.47</v>
      </c>
      <c r="U136" s="8">
        <v>50.36</v>
      </c>
      <c r="V136" s="6" t="s">
        <v>789</v>
      </c>
      <c r="W136" s="6" t="s">
        <v>397</v>
      </c>
    </row>
    <row r="137" spans="1:23" ht="22.35">
      <c r="A137" s="6">
        <v>134</v>
      </c>
      <c r="B137" s="7" t="s">
        <v>790</v>
      </c>
      <c r="C137" s="7" t="s">
        <v>121</v>
      </c>
      <c r="D137" s="6" t="s">
        <v>20</v>
      </c>
      <c r="E137" s="6" t="s">
        <v>791</v>
      </c>
      <c r="F137" s="6" t="s">
        <v>83</v>
      </c>
      <c r="G137" s="6" t="s">
        <v>792</v>
      </c>
      <c r="H137" s="7" t="s">
        <v>793</v>
      </c>
      <c r="I137" s="6" t="s">
        <v>73</v>
      </c>
      <c r="J137" s="6" t="s">
        <v>125</v>
      </c>
      <c r="K137" s="6">
        <v>40</v>
      </c>
      <c r="L137" s="6" t="s">
        <v>107</v>
      </c>
      <c r="M137" s="6" t="s">
        <v>16</v>
      </c>
      <c r="N137" s="6" t="s">
        <v>11</v>
      </c>
      <c r="O137" s="6" t="s">
        <v>41</v>
      </c>
      <c r="P137" s="6" t="s">
        <v>99</v>
      </c>
      <c r="Q137" s="6" t="s">
        <v>139</v>
      </c>
      <c r="R137" s="8">
        <v>7.5</v>
      </c>
      <c r="S137" s="8">
        <v>234.65</v>
      </c>
      <c r="T137" s="8">
        <v>0</v>
      </c>
      <c r="U137" s="8">
        <v>234.65</v>
      </c>
      <c r="V137" s="6" t="s">
        <v>121</v>
      </c>
      <c r="W137" s="6" t="s">
        <v>460</v>
      </c>
    </row>
    <row r="138" spans="1:23">
      <c r="A138" s="6">
        <v>135</v>
      </c>
      <c r="B138" s="7" t="s">
        <v>794</v>
      </c>
      <c r="C138" s="7" t="s">
        <v>795</v>
      </c>
      <c r="D138" s="6" t="s">
        <v>20</v>
      </c>
      <c r="E138" s="6" t="s">
        <v>796</v>
      </c>
      <c r="F138" s="6" t="s">
        <v>83</v>
      </c>
      <c r="G138" s="6" t="s">
        <v>797</v>
      </c>
      <c r="H138" s="7" t="s">
        <v>798</v>
      </c>
      <c r="I138" s="6" t="s">
        <v>137</v>
      </c>
      <c r="J138" s="6" t="s">
        <v>74</v>
      </c>
      <c r="K138" s="6">
        <v>600</v>
      </c>
      <c r="L138" s="6" t="s">
        <v>218</v>
      </c>
      <c r="M138" s="6" t="s">
        <v>14</v>
      </c>
      <c r="N138" s="6" t="s">
        <v>9</v>
      </c>
      <c r="O138" s="6" t="s">
        <v>33</v>
      </c>
      <c r="P138" s="6" t="s">
        <v>172</v>
      </c>
      <c r="Q138" s="6" t="s">
        <v>225</v>
      </c>
      <c r="R138" s="8">
        <v>0</v>
      </c>
      <c r="S138" s="8">
        <v>2.75</v>
      </c>
      <c r="T138" s="8">
        <v>0</v>
      </c>
      <c r="U138" s="8">
        <v>2.75</v>
      </c>
      <c r="V138" s="6" t="s">
        <v>121</v>
      </c>
      <c r="W138" s="6" t="s">
        <v>219</v>
      </c>
    </row>
    <row r="139" spans="1:23">
      <c r="A139" s="6">
        <v>136</v>
      </c>
      <c r="B139" s="7" t="s">
        <v>799</v>
      </c>
      <c r="C139" s="7" t="s">
        <v>121</v>
      </c>
      <c r="D139" s="6" t="s">
        <v>34</v>
      </c>
      <c r="E139" s="6" t="s">
        <v>800</v>
      </c>
      <c r="F139" s="6" t="s">
        <v>70</v>
      </c>
      <c r="G139" s="6" t="s">
        <v>801</v>
      </c>
      <c r="H139" s="7" t="s">
        <v>802</v>
      </c>
      <c r="I139" s="6" t="s">
        <v>73</v>
      </c>
      <c r="J139" s="6" t="s">
        <v>125</v>
      </c>
      <c r="K139" s="6">
        <v>6</v>
      </c>
      <c r="L139" s="6" t="s">
        <v>138</v>
      </c>
      <c r="M139" s="6" t="s">
        <v>8</v>
      </c>
      <c r="N139" s="6" t="s">
        <v>9</v>
      </c>
      <c r="O139" s="6" t="s">
        <v>27</v>
      </c>
      <c r="P139" s="6" t="s">
        <v>277</v>
      </c>
      <c r="Q139" s="6" t="s">
        <v>149</v>
      </c>
      <c r="R139" s="8">
        <v>24.2</v>
      </c>
      <c r="S139" s="8">
        <v>839.88</v>
      </c>
      <c r="T139" s="8">
        <v>0</v>
      </c>
      <c r="U139" s="8">
        <v>839.88</v>
      </c>
      <c r="V139" s="6" t="s">
        <v>121</v>
      </c>
      <c r="W139" s="6" t="s">
        <v>101</v>
      </c>
    </row>
    <row r="140" spans="1:23">
      <c r="A140" s="6">
        <v>137</v>
      </c>
      <c r="B140" s="7" t="s">
        <v>803</v>
      </c>
      <c r="C140" s="7" t="s">
        <v>121</v>
      </c>
      <c r="D140" s="6" t="s">
        <v>24</v>
      </c>
      <c r="E140" s="6" t="s">
        <v>804</v>
      </c>
      <c r="F140" s="6" t="s">
        <v>83</v>
      </c>
      <c r="G140" s="6" t="s">
        <v>805</v>
      </c>
      <c r="H140" s="7" t="s">
        <v>806</v>
      </c>
      <c r="I140" s="6" t="s">
        <v>86</v>
      </c>
      <c r="J140" s="6" t="s">
        <v>125</v>
      </c>
      <c r="K140" s="6">
        <v>60</v>
      </c>
      <c r="L140" s="6" t="s">
        <v>107</v>
      </c>
      <c r="M140" s="6" t="s">
        <v>10</v>
      </c>
      <c r="N140" s="6" t="s">
        <v>15</v>
      </c>
      <c r="O140" s="6" t="s">
        <v>156</v>
      </c>
      <c r="P140" s="6" t="s">
        <v>192</v>
      </c>
      <c r="Q140" s="6" t="s">
        <v>289</v>
      </c>
      <c r="R140" s="8">
        <v>0.7</v>
      </c>
      <c r="S140" s="8">
        <v>24.12</v>
      </c>
      <c r="T140" s="8">
        <v>25.07</v>
      </c>
      <c r="U140" s="8">
        <v>49.19</v>
      </c>
      <c r="V140" s="6" t="s">
        <v>190</v>
      </c>
      <c r="W140" s="6" t="s">
        <v>257</v>
      </c>
    </row>
    <row r="141" spans="1:23">
      <c r="A141" s="6">
        <v>138</v>
      </c>
      <c r="B141" s="7" t="s">
        <v>807</v>
      </c>
      <c r="C141" s="7" t="s">
        <v>121</v>
      </c>
      <c r="D141" s="6" t="s">
        <v>28</v>
      </c>
      <c r="E141" s="6" t="s">
        <v>808</v>
      </c>
      <c r="F141" s="6" t="s">
        <v>83</v>
      </c>
      <c r="G141" s="6" t="s">
        <v>809</v>
      </c>
      <c r="H141" s="7" t="s">
        <v>810</v>
      </c>
      <c r="I141" s="6" t="s">
        <v>73</v>
      </c>
      <c r="J141" s="6" t="s">
        <v>87</v>
      </c>
      <c r="K141" s="6">
        <v>4000</v>
      </c>
      <c r="L141" s="6" t="s">
        <v>327</v>
      </c>
      <c r="M141" s="6" t="s">
        <v>8</v>
      </c>
      <c r="N141" s="6" t="s">
        <v>9</v>
      </c>
      <c r="O141" s="6" t="s">
        <v>25</v>
      </c>
      <c r="P141" s="6" t="s">
        <v>117</v>
      </c>
      <c r="Q141" s="6" t="s">
        <v>158</v>
      </c>
      <c r="R141" s="8">
        <v>23.6</v>
      </c>
      <c r="S141" s="8">
        <v>945.87</v>
      </c>
      <c r="T141" s="8">
        <v>0</v>
      </c>
      <c r="U141" s="8">
        <v>945.87</v>
      </c>
      <c r="V141" s="6" t="s">
        <v>121</v>
      </c>
      <c r="W141" s="6" t="s">
        <v>348</v>
      </c>
    </row>
    <row r="142" spans="1:23">
      <c r="A142" s="6">
        <v>139</v>
      </c>
      <c r="B142" s="7" t="s">
        <v>811</v>
      </c>
      <c r="C142" s="7" t="s">
        <v>121</v>
      </c>
      <c r="D142" s="6" t="s">
        <v>20</v>
      </c>
      <c r="E142" s="6" t="s">
        <v>812</v>
      </c>
      <c r="F142" s="6" t="s">
        <v>70</v>
      </c>
      <c r="G142" s="6" t="s">
        <v>299</v>
      </c>
      <c r="H142" s="7" t="s">
        <v>813</v>
      </c>
      <c r="I142" s="6" t="s">
        <v>73</v>
      </c>
      <c r="J142" s="6" t="s">
        <v>74</v>
      </c>
      <c r="K142" s="6">
        <v>400</v>
      </c>
      <c r="L142" s="6" t="s">
        <v>163</v>
      </c>
      <c r="M142" s="6" t="s">
        <v>8</v>
      </c>
      <c r="N142" s="6" t="s">
        <v>9</v>
      </c>
      <c r="O142" s="6" t="s">
        <v>21</v>
      </c>
      <c r="P142" s="6" t="s">
        <v>172</v>
      </c>
      <c r="Q142" s="6" t="s">
        <v>149</v>
      </c>
      <c r="R142" s="8">
        <v>7.3</v>
      </c>
      <c r="S142" s="8">
        <v>199.93</v>
      </c>
      <c r="T142" s="8">
        <v>0</v>
      </c>
      <c r="U142" s="8">
        <v>199.93</v>
      </c>
      <c r="V142" s="6" t="s">
        <v>121</v>
      </c>
      <c r="W142" s="6" t="s">
        <v>251</v>
      </c>
    </row>
    <row r="143" spans="1:23">
      <c r="A143" s="6">
        <v>140</v>
      </c>
      <c r="B143" s="7" t="s">
        <v>814</v>
      </c>
      <c r="C143" s="7" t="s">
        <v>815</v>
      </c>
      <c r="D143" s="6" t="s">
        <v>32</v>
      </c>
      <c r="E143" s="6" t="s">
        <v>816</v>
      </c>
      <c r="F143" s="6" t="s">
        <v>83</v>
      </c>
      <c r="G143" s="6" t="s">
        <v>817</v>
      </c>
      <c r="H143" s="7" t="s">
        <v>818</v>
      </c>
      <c r="I143" s="6" t="s">
        <v>147</v>
      </c>
      <c r="J143" s="6" t="s">
        <v>87</v>
      </c>
      <c r="K143" s="6">
        <v>2000</v>
      </c>
      <c r="L143" s="6" t="s">
        <v>171</v>
      </c>
      <c r="M143" s="6" t="s">
        <v>12</v>
      </c>
      <c r="N143" s="6" t="s">
        <v>13</v>
      </c>
      <c r="O143" s="6" t="s">
        <v>37</v>
      </c>
      <c r="P143" s="6" t="s">
        <v>248</v>
      </c>
      <c r="Q143" s="6" t="s">
        <v>249</v>
      </c>
      <c r="R143" s="8">
        <v>8.6</v>
      </c>
      <c r="S143" s="8">
        <v>189.71</v>
      </c>
      <c r="T143" s="8">
        <v>22.18</v>
      </c>
      <c r="U143" s="8">
        <v>211.89</v>
      </c>
      <c r="V143" s="6" t="s">
        <v>819</v>
      </c>
      <c r="W143" s="6" t="s">
        <v>410</v>
      </c>
    </row>
    <row r="144" spans="1:23">
      <c r="A144" s="6">
        <v>141</v>
      </c>
      <c r="B144" s="7" t="s">
        <v>820</v>
      </c>
      <c r="C144" s="7" t="s">
        <v>121</v>
      </c>
      <c r="D144" s="6" t="s">
        <v>30</v>
      </c>
      <c r="E144" s="6" t="s">
        <v>821</v>
      </c>
      <c r="F144" s="6" t="s">
        <v>70</v>
      </c>
      <c r="G144" s="6" t="s">
        <v>822</v>
      </c>
      <c r="H144" s="7" t="s">
        <v>823</v>
      </c>
      <c r="I144" s="6" t="s">
        <v>147</v>
      </c>
      <c r="J144" s="6" t="s">
        <v>125</v>
      </c>
      <c r="K144" s="6">
        <v>60</v>
      </c>
      <c r="L144" s="6" t="s">
        <v>116</v>
      </c>
      <c r="M144" s="6" t="s">
        <v>10</v>
      </c>
      <c r="N144" s="6" t="s">
        <v>13</v>
      </c>
      <c r="O144" s="6" t="s">
        <v>35</v>
      </c>
      <c r="P144" s="6" t="s">
        <v>178</v>
      </c>
      <c r="Q144" s="6" t="s">
        <v>179</v>
      </c>
      <c r="R144" s="8">
        <v>16.100000000000001</v>
      </c>
      <c r="S144" s="8">
        <v>578.12</v>
      </c>
      <c r="T144" s="8">
        <v>32.56</v>
      </c>
      <c r="U144" s="8">
        <v>610.67999999999995</v>
      </c>
      <c r="V144" s="6" t="s">
        <v>824</v>
      </c>
      <c r="W144" s="6" t="s">
        <v>207</v>
      </c>
    </row>
    <row r="145" spans="1:23">
      <c r="A145" s="6">
        <v>142</v>
      </c>
      <c r="B145" s="7" t="s">
        <v>825</v>
      </c>
      <c r="C145" s="7" t="s">
        <v>121</v>
      </c>
      <c r="D145" s="6" t="s">
        <v>20</v>
      </c>
      <c r="E145" s="6" t="s">
        <v>826</v>
      </c>
      <c r="F145" s="6" t="s">
        <v>83</v>
      </c>
      <c r="G145" s="6" t="s">
        <v>827</v>
      </c>
      <c r="H145" s="7" t="s">
        <v>828</v>
      </c>
      <c r="I145" s="6" t="s">
        <v>73</v>
      </c>
      <c r="J145" s="6" t="s">
        <v>87</v>
      </c>
      <c r="K145" s="6">
        <v>2000</v>
      </c>
      <c r="L145" s="6" t="s">
        <v>163</v>
      </c>
      <c r="M145" s="6" t="s">
        <v>14</v>
      </c>
      <c r="N145" s="6" t="s">
        <v>15</v>
      </c>
      <c r="O145" s="6" t="s">
        <v>156</v>
      </c>
      <c r="P145" s="6" t="s">
        <v>200</v>
      </c>
      <c r="Q145" s="6" t="s">
        <v>129</v>
      </c>
      <c r="R145" s="8">
        <v>2.8</v>
      </c>
      <c r="S145" s="8">
        <v>117.16</v>
      </c>
      <c r="T145" s="8">
        <v>0</v>
      </c>
      <c r="U145" s="8">
        <v>117.16</v>
      </c>
      <c r="V145" s="6" t="s">
        <v>121</v>
      </c>
      <c r="W145" s="6" t="s">
        <v>251</v>
      </c>
    </row>
    <row r="146" spans="1:23">
      <c r="A146" s="6">
        <v>143</v>
      </c>
      <c r="B146" s="7" t="s">
        <v>829</v>
      </c>
      <c r="C146" s="7" t="s">
        <v>830</v>
      </c>
      <c r="D146" s="6" t="s">
        <v>26</v>
      </c>
      <c r="E146" s="6" t="s">
        <v>831</v>
      </c>
      <c r="F146" s="6" t="s">
        <v>83</v>
      </c>
      <c r="G146" s="6" t="s">
        <v>832</v>
      </c>
      <c r="H146" s="7" t="s">
        <v>833</v>
      </c>
      <c r="I146" s="6" t="s">
        <v>86</v>
      </c>
      <c r="J146" s="6" t="s">
        <v>87</v>
      </c>
      <c r="K146" s="6">
        <v>2000</v>
      </c>
      <c r="L146" s="6" t="s">
        <v>241</v>
      </c>
      <c r="M146" s="6" t="s">
        <v>17</v>
      </c>
      <c r="N146" s="6" t="s">
        <v>13</v>
      </c>
      <c r="O146" s="6" t="s">
        <v>35</v>
      </c>
      <c r="P146" s="6" t="s">
        <v>148</v>
      </c>
      <c r="Q146" s="6" t="s">
        <v>149</v>
      </c>
      <c r="R146" s="8">
        <v>3.9</v>
      </c>
      <c r="S146" s="8">
        <v>142.19</v>
      </c>
      <c r="T146" s="8">
        <v>14.8</v>
      </c>
      <c r="U146" s="8">
        <v>156.99</v>
      </c>
      <c r="V146" s="6" t="s">
        <v>834</v>
      </c>
      <c r="W146" s="6" t="s">
        <v>511</v>
      </c>
    </row>
    <row r="147" spans="1:23" ht="22.35">
      <c r="A147" s="6">
        <v>144</v>
      </c>
      <c r="B147" s="7" t="s">
        <v>835</v>
      </c>
      <c r="C147" s="7" t="s">
        <v>121</v>
      </c>
      <c r="D147" s="6" t="s">
        <v>28</v>
      </c>
      <c r="E147" s="6" t="s">
        <v>836</v>
      </c>
      <c r="F147" s="6" t="s">
        <v>70</v>
      </c>
      <c r="G147" s="6" t="s">
        <v>837</v>
      </c>
      <c r="H147" s="7" t="s">
        <v>838</v>
      </c>
      <c r="I147" s="6" t="s">
        <v>73</v>
      </c>
      <c r="J147" s="6" t="s">
        <v>125</v>
      </c>
      <c r="K147" s="6">
        <v>40</v>
      </c>
      <c r="L147" s="6" t="s">
        <v>171</v>
      </c>
      <c r="M147" s="6" t="s">
        <v>16</v>
      </c>
      <c r="N147" s="6" t="s">
        <v>9</v>
      </c>
      <c r="O147" s="6" t="s">
        <v>29</v>
      </c>
      <c r="P147" s="6" t="s">
        <v>117</v>
      </c>
      <c r="Q147" s="6" t="s">
        <v>158</v>
      </c>
      <c r="R147" s="8">
        <v>3</v>
      </c>
      <c r="S147" s="8">
        <v>122.93</v>
      </c>
      <c r="T147" s="8">
        <v>0</v>
      </c>
      <c r="U147" s="8">
        <v>122.93</v>
      </c>
      <c r="V147" s="6" t="s">
        <v>121</v>
      </c>
      <c r="W147" s="6" t="s">
        <v>604</v>
      </c>
    </row>
    <row r="148" spans="1:23">
      <c r="A148" s="6">
        <v>145</v>
      </c>
      <c r="B148" s="7" t="s">
        <v>839</v>
      </c>
      <c r="C148" s="7" t="s">
        <v>840</v>
      </c>
      <c r="D148" s="6" t="s">
        <v>28</v>
      </c>
      <c r="E148" s="6" t="s">
        <v>841</v>
      </c>
      <c r="F148" s="6" t="s">
        <v>83</v>
      </c>
      <c r="G148" s="6" t="s">
        <v>842</v>
      </c>
      <c r="H148" s="7" t="s">
        <v>843</v>
      </c>
      <c r="I148" s="6" t="s">
        <v>86</v>
      </c>
      <c r="J148" s="6" t="s">
        <v>74</v>
      </c>
      <c r="K148" s="6">
        <v>400</v>
      </c>
      <c r="L148" s="6" t="s">
        <v>116</v>
      </c>
      <c r="M148" s="6" t="s">
        <v>14</v>
      </c>
      <c r="N148" s="6" t="s">
        <v>13</v>
      </c>
      <c r="O148" s="6" t="s">
        <v>39</v>
      </c>
      <c r="P148" s="6" t="s">
        <v>192</v>
      </c>
      <c r="Q148" s="6" t="s">
        <v>289</v>
      </c>
      <c r="R148" s="8">
        <v>0.8</v>
      </c>
      <c r="S148" s="8">
        <v>23.53</v>
      </c>
      <c r="T148" s="8">
        <v>0</v>
      </c>
      <c r="U148" s="8">
        <v>23.53</v>
      </c>
      <c r="V148" s="6" t="s">
        <v>121</v>
      </c>
      <c r="W148" s="6" t="s">
        <v>141</v>
      </c>
    </row>
    <row r="149" spans="1:23" ht="22.35">
      <c r="A149" s="6">
        <v>146</v>
      </c>
      <c r="B149" s="7" t="s">
        <v>844</v>
      </c>
      <c r="C149" s="7" t="s">
        <v>121</v>
      </c>
      <c r="D149" s="6" t="s">
        <v>24</v>
      </c>
      <c r="E149" s="6" t="s">
        <v>845</v>
      </c>
      <c r="F149" s="6" t="s">
        <v>83</v>
      </c>
      <c r="G149" s="6" t="s">
        <v>216</v>
      </c>
      <c r="H149" s="7" t="s">
        <v>846</v>
      </c>
      <c r="I149" s="6" t="s">
        <v>137</v>
      </c>
      <c r="J149" s="6" t="s">
        <v>74</v>
      </c>
      <c r="K149" s="6">
        <v>200</v>
      </c>
      <c r="L149" s="6" t="s">
        <v>126</v>
      </c>
      <c r="M149" s="6" t="s">
        <v>16</v>
      </c>
      <c r="N149" s="6" t="s">
        <v>11</v>
      </c>
      <c r="O149" s="6" t="s">
        <v>43</v>
      </c>
      <c r="P149" s="6" t="s">
        <v>157</v>
      </c>
      <c r="Q149" s="6" t="s">
        <v>158</v>
      </c>
      <c r="R149" s="8">
        <v>0</v>
      </c>
      <c r="S149" s="8">
        <v>3.39</v>
      </c>
      <c r="T149" s="8">
        <v>0</v>
      </c>
      <c r="U149" s="8">
        <v>3.39</v>
      </c>
      <c r="V149" s="6" t="s">
        <v>121</v>
      </c>
      <c r="W149" s="6" t="s">
        <v>219</v>
      </c>
    </row>
    <row r="150" spans="1:23" ht="22.35">
      <c r="A150" s="6">
        <v>147</v>
      </c>
      <c r="B150" s="7" t="s">
        <v>847</v>
      </c>
      <c r="C150" s="7" t="s">
        <v>848</v>
      </c>
      <c r="D150" s="6" t="s">
        <v>30</v>
      </c>
      <c r="E150" s="6" t="s">
        <v>849</v>
      </c>
      <c r="F150" s="6" t="s">
        <v>83</v>
      </c>
      <c r="G150" s="6" t="s">
        <v>850</v>
      </c>
      <c r="H150" s="7" t="s">
        <v>851</v>
      </c>
      <c r="I150" s="6" t="s">
        <v>147</v>
      </c>
      <c r="J150" s="6" t="s">
        <v>125</v>
      </c>
      <c r="K150" s="6">
        <v>40</v>
      </c>
      <c r="L150" s="6" t="s">
        <v>171</v>
      </c>
      <c r="M150" s="6" t="s">
        <v>16</v>
      </c>
      <c r="N150" s="6" t="s">
        <v>11</v>
      </c>
      <c r="O150" s="6" t="s">
        <v>43</v>
      </c>
      <c r="P150" s="6" t="s">
        <v>192</v>
      </c>
      <c r="Q150" s="6" t="s">
        <v>289</v>
      </c>
      <c r="R150" s="8">
        <v>4.5999999999999996</v>
      </c>
      <c r="S150" s="8">
        <v>69.209999999999994</v>
      </c>
      <c r="T150" s="8">
        <v>0</v>
      </c>
      <c r="U150" s="8">
        <v>69.209999999999994</v>
      </c>
      <c r="V150" s="6" t="s">
        <v>121</v>
      </c>
      <c r="W150" s="6" t="s">
        <v>173</v>
      </c>
    </row>
    <row r="151" spans="1:23">
      <c r="A151" s="6">
        <v>148</v>
      </c>
      <c r="B151" s="7" t="s">
        <v>852</v>
      </c>
      <c r="C151" s="7" t="s">
        <v>853</v>
      </c>
      <c r="D151" s="6" t="s">
        <v>26</v>
      </c>
      <c r="E151" s="6" t="s">
        <v>854</v>
      </c>
      <c r="F151" s="6" t="s">
        <v>83</v>
      </c>
      <c r="G151" s="6" t="s">
        <v>855</v>
      </c>
      <c r="H151" s="7" t="s">
        <v>856</v>
      </c>
      <c r="I151" s="6" t="s">
        <v>86</v>
      </c>
      <c r="J151" s="6" t="s">
        <v>74</v>
      </c>
      <c r="K151" s="6">
        <v>600</v>
      </c>
      <c r="L151" s="6" t="s">
        <v>267</v>
      </c>
      <c r="M151" s="6" t="s">
        <v>8</v>
      </c>
      <c r="N151" s="6" t="s">
        <v>9</v>
      </c>
      <c r="O151" s="6" t="s">
        <v>23</v>
      </c>
      <c r="P151" s="6" t="s">
        <v>117</v>
      </c>
      <c r="Q151" s="6" t="s">
        <v>158</v>
      </c>
      <c r="R151" s="8">
        <v>12.5</v>
      </c>
      <c r="S151" s="8">
        <v>298.20999999999998</v>
      </c>
      <c r="T151" s="8">
        <v>0</v>
      </c>
      <c r="U151" s="8">
        <v>298.20999999999998</v>
      </c>
      <c r="V151" s="6" t="s">
        <v>121</v>
      </c>
      <c r="W151" s="6" t="s">
        <v>604</v>
      </c>
    </row>
    <row r="152" spans="1:23">
      <c r="A152" s="6">
        <v>149</v>
      </c>
      <c r="B152" s="7" t="s">
        <v>857</v>
      </c>
      <c r="C152" s="7" t="s">
        <v>121</v>
      </c>
      <c r="D152" s="6" t="s">
        <v>28</v>
      </c>
      <c r="E152" s="6" t="s">
        <v>858</v>
      </c>
      <c r="F152" s="6" t="s">
        <v>83</v>
      </c>
      <c r="G152" s="6" t="s">
        <v>859</v>
      </c>
      <c r="H152" s="7" t="s">
        <v>860</v>
      </c>
      <c r="I152" s="6" t="s">
        <v>73</v>
      </c>
      <c r="J152" s="6" t="s">
        <v>87</v>
      </c>
      <c r="K152" s="6">
        <v>4000</v>
      </c>
      <c r="L152" s="6" t="s">
        <v>199</v>
      </c>
      <c r="M152" s="6" t="s">
        <v>12</v>
      </c>
      <c r="N152" s="6" t="s">
        <v>11</v>
      </c>
      <c r="O152" s="6" t="s">
        <v>41</v>
      </c>
      <c r="P152" s="6" t="s">
        <v>99</v>
      </c>
      <c r="Q152" s="6" t="s">
        <v>139</v>
      </c>
      <c r="R152" s="8">
        <v>15</v>
      </c>
      <c r="S152" s="8">
        <v>299.22000000000003</v>
      </c>
      <c r="T152" s="8">
        <v>10.69</v>
      </c>
      <c r="U152" s="8">
        <v>309.91000000000003</v>
      </c>
      <c r="V152" s="6" t="s">
        <v>861</v>
      </c>
      <c r="W152" s="6" t="s">
        <v>391</v>
      </c>
    </row>
    <row r="153" spans="1:23">
      <c r="A153" s="6">
        <v>150</v>
      </c>
      <c r="B153" s="7" t="s">
        <v>862</v>
      </c>
      <c r="C153" s="7" t="s">
        <v>121</v>
      </c>
      <c r="D153" s="6" t="s">
        <v>22</v>
      </c>
      <c r="E153" s="6" t="s">
        <v>863</v>
      </c>
      <c r="F153" s="6" t="s">
        <v>345</v>
      </c>
      <c r="G153" s="6" t="s">
        <v>864</v>
      </c>
      <c r="H153" s="7" t="s">
        <v>865</v>
      </c>
      <c r="I153" s="6" t="s">
        <v>73</v>
      </c>
      <c r="J153" s="6" t="s">
        <v>125</v>
      </c>
      <c r="K153" s="6">
        <v>6</v>
      </c>
      <c r="L153" s="6" t="s">
        <v>199</v>
      </c>
      <c r="M153" s="6" t="s">
        <v>8</v>
      </c>
      <c r="N153" s="6" t="s">
        <v>9</v>
      </c>
      <c r="O153" s="6" t="s">
        <v>25</v>
      </c>
      <c r="P153" s="6" t="s">
        <v>185</v>
      </c>
      <c r="Q153" s="6" t="s">
        <v>186</v>
      </c>
      <c r="R153" s="8">
        <v>4.9000000000000004</v>
      </c>
      <c r="S153" s="8">
        <v>102.88</v>
      </c>
      <c r="T153" s="8">
        <v>0</v>
      </c>
      <c r="U153" s="8">
        <v>102.88</v>
      </c>
      <c r="V153" s="6" t="s">
        <v>121</v>
      </c>
      <c r="W153" s="6" t="s">
        <v>604</v>
      </c>
    </row>
    <row r="154" spans="1:23">
      <c r="A154" s="6">
        <v>151</v>
      </c>
      <c r="B154" s="7" t="s">
        <v>866</v>
      </c>
      <c r="C154" s="7" t="s">
        <v>121</v>
      </c>
      <c r="D154" s="6" t="s">
        <v>26</v>
      </c>
      <c r="E154" s="6" t="s">
        <v>867</v>
      </c>
      <c r="F154" s="6" t="s">
        <v>83</v>
      </c>
      <c r="G154" s="6" t="s">
        <v>868</v>
      </c>
      <c r="H154" s="7" t="s">
        <v>869</v>
      </c>
      <c r="I154" s="6" t="s">
        <v>86</v>
      </c>
      <c r="J154" s="6" t="s">
        <v>125</v>
      </c>
      <c r="K154" s="6">
        <v>6</v>
      </c>
      <c r="L154" s="6" t="s">
        <v>267</v>
      </c>
      <c r="M154" s="6" t="s">
        <v>8</v>
      </c>
      <c r="N154" s="6" t="s">
        <v>9</v>
      </c>
      <c r="O154" s="6" t="s">
        <v>25</v>
      </c>
      <c r="P154" s="6" t="s">
        <v>99</v>
      </c>
      <c r="Q154" s="6" t="s">
        <v>139</v>
      </c>
      <c r="R154" s="8">
        <v>5</v>
      </c>
      <c r="S154" s="8">
        <v>90.36</v>
      </c>
      <c r="T154" s="8">
        <v>0</v>
      </c>
      <c r="U154" s="8">
        <v>90.36</v>
      </c>
      <c r="V154" s="6" t="s">
        <v>121</v>
      </c>
      <c r="W154" s="6" t="s">
        <v>207</v>
      </c>
    </row>
    <row r="155" spans="1:23">
      <c r="A155" s="6">
        <v>152</v>
      </c>
      <c r="B155" s="7" t="s">
        <v>870</v>
      </c>
      <c r="C155" s="7" t="s">
        <v>871</v>
      </c>
      <c r="D155" s="6" t="s">
        <v>38</v>
      </c>
      <c r="E155" s="6" t="s">
        <v>872</v>
      </c>
      <c r="F155" s="6" t="s">
        <v>83</v>
      </c>
      <c r="G155" s="6" t="s">
        <v>873</v>
      </c>
      <c r="H155" s="7" t="s">
        <v>874</v>
      </c>
      <c r="I155" s="6" t="s">
        <v>86</v>
      </c>
      <c r="J155" s="6" t="s">
        <v>125</v>
      </c>
      <c r="K155" s="6">
        <v>6</v>
      </c>
      <c r="L155" s="6" t="s">
        <v>75</v>
      </c>
      <c r="M155" s="6" t="s">
        <v>8</v>
      </c>
      <c r="N155" s="6" t="s">
        <v>15</v>
      </c>
      <c r="O155" s="6" t="s">
        <v>156</v>
      </c>
      <c r="P155" s="6" t="s">
        <v>117</v>
      </c>
      <c r="Q155" s="6" t="s">
        <v>426</v>
      </c>
      <c r="R155" s="8">
        <v>6.1</v>
      </c>
      <c r="S155" s="8">
        <v>196.28</v>
      </c>
      <c r="T155" s="8">
        <v>0</v>
      </c>
      <c r="U155" s="8">
        <v>196.28</v>
      </c>
      <c r="V155" s="6" t="s">
        <v>121</v>
      </c>
      <c r="W155" s="6" t="s">
        <v>284</v>
      </c>
    </row>
    <row r="156" spans="1:23" ht="22.35">
      <c r="A156" s="6">
        <v>153</v>
      </c>
      <c r="B156" s="7" t="s">
        <v>875</v>
      </c>
      <c r="C156" s="7" t="s">
        <v>121</v>
      </c>
      <c r="D156" s="6" t="s">
        <v>24</v>
      </c>
      <c r="E156" s="6" t="s">
        <v>876</v>
      </c>
      <c r="F156" s="6" t="s">
        <v>70</v>
      </c>
      <c r="G156" s="6" t="s">
        <v>877</v>
      </c>
      <c r="H156" s="7" t="s">
        <v>878</v>
      </c>
      <c r="I156" s="6" t="s">
        <v>73</v>
      </c>
      <c r="J156" s="6" t="s">
        <v>74</v>
      </c>
      <c r="K156" s="6">
        <v>600</v>
      </c>
      <c r="L156" s="6" t="s">
        <v>97</v>
      </c>
      <c r="M156" s="6" t="s">
        <v>16</v>
      </c>
      <c r="N156" s="6" t="s">
        <v>15</v>
      </c>
      <c r="O156" s="6" t="s">
        <v>29</v>
      </c>
      <c r="P156" s="6" t="s">
        <v>128</v>
      </c>
      <c r="Q156" s="6" t="s">
        <v>129</v>
      </c>
      <c r="R156" s="8">
        <v>2.6</v>
      </c>
      <c r="S156" s="8">
        <v>94.2</v>
      </c>
      <c r="T156" s="8">
        <v>0</v>
      </c>
      <c r="U156" s="8">
        <v>94.2</v>
      </c>
      <c r="V156" s="6" t="s">
        <v>121</v>
      </c>
      <c r="W156" s="6" t="s">
        <v>291</v>
      </c>
    </row>
    <row r="157" spans="1:23">
      <c r="A157" s="6">
        <v>154</v>
      </c>
      <c r="B157" s="7" t="s">
        <v>879</v>
      </c>
      <c r="C157" s="7" t="s">
        <v>880</v>
      </c>
      <c r="D157" s="6" t="s">
        <v>24</v>
      </c>
      <c r="E157" s="6" t="s">
        <v>881</v>
      </c>
      <c r="F157" s="6" t="s">
        <v>83</v>
      </c>
      <c r="G157" s="6" t="s">
        <v>882</v>
      </c>
      <c r="H157" s="7" t="s">
        <v>883</v>
      </c>
      <c r="I157" s="6" t="s">
        <v>137</v>
      </c>
      <c r="J157" s="6" t="s">
        <v>87</v>
      </c>
      <c r="K157" s="6">
        <v>4000</v>
      </c>
      <c r="L157" s="6" t="s">
        <v>163</v>
      </c>
      <c r="M157" s="6" t="s">
        <v>10</v>
      </c>
      <c r="N157" s="6" t="s">
        <v>11</v>
      </c>
      <c r="O157" s="6" t="s">
        <v>41</v>
      </c>
      <c r="P157" s="6" t="s">
        <v>117</v>
      </c>
      <c r="Q157" s="6" t="s">
        <v>426</v>
      </c>
      <c r="R157" s="8">
        <v>0</v>
      </c>
      <c r="S157" s="8">
        <v>1.82</v>
      </c>
      <c r="T157" s="8">
        <v>47.58</v>
      </c>
      <c r="U157" s="8">
        <v>49.4</v>
      </c>
      <c r="V157" s="6" t="s">
        <v>884</v>
      </c>
      <c r="W157" s="6" t="s">
        <v>219</v>
      </c>
    </row>
    <row r="158" spans="1:23">
      <c r="A158" s="6">
        <v>155</v>
      </c>
      <c r="B158" s="7" t="s">
        <v>885</v>
      </c>
      <c r="C158" s="7" t="s">
        <v>886</v>
      </c>
      <c r="D158" s="6" t="s">
        <v>30</v>
      </c>
      <c r="E158" s="6" t="s">
        <v>887</v>
      </c>
      <c r="F158" s="6" t="s">
        <v>83</v>
      </c>
      <c r="G158" s="6" t="s">
        <v>888</v>
      </c>
      <c r="H158" s="7" t="s">
        <v>889</v>
      </c>
      <c r="I158" s="6" t="s">
        <v>147</v>
      </c>
      <c r="J158" s="6" t="s">
        <v>74</v>
      </c>
      <c r="K158" s="6">
        <v>400</v>
      </c>
      <c r="L158" s="6" t="s">
        <v>107</v>
      </c>
      <c r="M158" s="6" t="s">
        <v>12</v>
      </c>
      <c r="N158" s="6" t="s">
        <v>9</v>
      </c>
      <c r="O158" s="6" t="s">
        <v>21</v>
      </c>
      <c r="P158" s="6" t="s">
        <v>192</v>
      </c>
      <c r="Q158" s="6" t="s">
        <v>158</v>
      </c>
      <c r="R158" s="8">
        <v>0.4</v>
      </c>
      <c r="S158" s="8">
        <v>18.34</v>
      </c>
      <c r="T158" s="8">
        <v>30.61</v>
      </c>
      <c r="U158" s="8">
        <v>48.95</v>
      </c>
      <c r="V158" s="6" t="s">
        <v>890</v>
      </c>
      <c r="W158" s="6" t="s">
        <v>368</v>
      </c>
    </row>
    <row r="159" spans="1:23">
      <c r="A159" s="6">
        <v>156</v>
      </c>
      <c r="B159" s="7" t="s">
        <v>891</v>
      </c>
      <c r="C159" s="7" t="s">
        <v>892</v>
      </c>
      <c r="D159" s="6" t="s">
        <v>42</v>
      </c>
      <c r="E159" s="6" t="s">
        <v>893</v>
      </c>
      <c r="F159" s="6" t="s">
        <v>83</v>
      </c>
      <c r="G159" s="6" t="s">
        <v>894</v>
      </c>
      <c r="H159" s="7" t="s">
        <v>895</v>
      </c>
      <c r="I159" s="6" t="s">
        <v>73</v>
      </c>
      <c r="J159" s="6" t="s">
        <v>125</v>
      </c>
      <c r="K159" s="6">
        <v>60</v>
      </c>
      <c r="L159" s="6" t="s">
        <v>75</v>
      </c>
      <c r="M159" s="6" t="s">
        <v>10</v>
      </c>
      <c r="N159" s="6" t="s">
        <v>9</v>
      </c>
      <c r="O159" s="6" t="s">
        <v>27</v>
      </c>
      <c r="P159" s="6" t="s">
        <v>108</v>
      </c>
      <c r="Q159" s="6" t="s">
        <v>206</v>
      </c>
      <c r="R159" s="8">
        <v>17.399999999999999</v>
      </c>
      <c r="S159" s="8">
        <v>245.95</v>
      </c>
      <c r="T159" s="8">
        <v>1.81</v>
      </c>
      <c r="U159" s="8">
        <v>247.76</v>
      </c>
      <c r="V159" s="6" t="s">
        <v>896</v>
      </c>
      <c r="W159" s="6" t="s">
        <v>391</v>
      </c>
    </row>
    <row r="160" spans="1:23">
      <c r="A160" s="6">
        <v>157</v>
      </c>
      <c r="B160" s="7" t="s">
        <v>897</v>
      </c>
      <c r="C160" s="7" t="s">
        <v>121</v>
      </c>
      <c r="D160" s="6" t="s">
        <v>36</v>
      </c>
      <c r="E160" s="6" t="s">
        <v>898</v>
      </c>
      <c r="F160" s="6" t="s">
        <v>83</v>
      </c>
      <c r="G160" s="6" t="s">
        <v>899</v>
      </c>
      <c r="H160" s="7" t="s">
        <v>900</v>
      </c>
      <c r="I160" s="6" t="s">
        <v>73</v>
      </c>
      <c r="J160" s="6" t="s">
        <v>74</v>
      </c>
      <c r="K160" s="6">
        <v>200</v>
      </c>
      <c r="L160" s="6" t="s">
        <v>267</v>
      </c>
      <c r="M160" s="6" t="s">
        <v>8</v>
      </c>
      <c r="N160" s="6" t="s">
        <v>15</v>
      </c>
      <c r="O160" s="6" t="s">
        <v>156</v>
      </c>
      <c r="P160" s="6" t="s">
        <v>172</v>
      </c>
      <c r="Q160" s="6" t="s">
        <v>225</v>
      </c>
      <c r="R160" s="8">
        <v>0.8</v>
      </c>
      <c r="S160" s="8">
        <v>14.82</v>
      </c>
      <c r="T160" s="8">
        <v>0</v>
      </c>
      <c r="U160" s="8">
        <v>14.82</v>
      </c>
      <c r="V160" s="6" t="s">
        <v>121</v>
      </c>
      <c r="W160" s="6" t="s">
        <v>368</v>
      </c>
    </row>
    <row r="161" spans="1:23">
      <c r="A161" s="6">
        <v>158</v>
      </c>
      <c r="B161" s="7" t="s">
        <v>901</v>
      </c>
      <c r="C161" s="7" t="s">
        <v>902</v>
      </c>
      <c r="D161" s="6" t="s">
        <v>30</v>
      </c>
      <c r="E161" s="6" t="s">
        <v>903</v>
      </c>
      <c r="F161" s="6" t="s">
        <v>83</v>
      </c>
      <c r="G161" s="6" t="s">
        <v>904</v>
      </c>
      <c r="H161" s="7" t="s">
        <v>905</v>
      </c>
      <c r="I161" s="6" t="s">
        <v>137</v>
      </c>
      <c r="J161" s="6" t="s">
        <v>125</v>
      </c>
      <c r="K161" s="6">
        <v>40</v>
      </c>
      <c r="L161" s="6" t="s">
        <v>199</v>
      </c>
      <c r="M161" s="6" t="s">
        <v>14</v>
      </c>
      <c r="N161" s="6" t="s">
        <v>9</v>
      </c>
      <c r="O161" s="6" t="s">
        <v>27</v>
      </c>
      <c r="P161" s="6" t="s">
        <v>192</v>
      </c>
      <c r="Q161" s="6" t="s">
        <v>289</v>
      </c>
      <c r="R161" s="8">
        <v>0</v>
      </c>
      <c r="S161" s="8">
        <v>3.47</v>
      </c>
      <c r="T161" s="8">
        <v>0</v>
      </c>
      <c r="U161" s="8">
        <v>3.47</v>
      </c>
      <c r="V161" s="6" t="s">
        <v>121</v>
      </c>
      <c r="W161" s="6" t="s">
        <v>251</v>
      </c>
    </row>
    <row r="162" spans="1:23">
      <c r="A162" s="6">
        <v>159</v>
      </c>
      <c r="B162" s="7" t="s">
        <v>906</v>
      </c>
      <c r="C162" s="7" t="s">
        <v>907</v>
      </c>
      <c r="D162" s="6" t="s">
        <v>22</v>
      </c>
      <c r="E162" s="6" t="s">
        <v>908</v>
      </c>
      <c r="F162" s="6" t="s">
        <v>83</v>
      </c>
      <c r="G162" s="6" t="s">
        <v>909</v>
      </c>
      <c r="H162" s="7" t="s">
        <v>910</v>
      </c>
      <c r="I162" s="6" t="s">
        <v>137</v>
      </c>
      <c r="J162" s="6" t="s">
        <v>74</v>
      </c>
      <c r="K162" s="6">
        <v>400</v>
      </c>
      <c r="L162" s="6" t="s">
        <v>241</v>
      </c>
      <c r="M162" s="6" t="s">
        <v>10</v>
      </c>
      <c r="N162" s="6" t="s">
        <v>11</v>
      </c>
      <c r="O162" s="6" t="s">
        <v>41</v>
      </c>
      <c r="P162" s="6" t="s">
        <v>248</v>
      </c>
      <c r="Q162" s="6" t="s">
        <v>249</v>
      </c>
      <c r="R162" s="8">
        <v>0</v>
      </c>
      <c r="S162" s="8">
        <v>3.01</v>
      </c>
      <c r="T162" s="8">
        <v>45.06</v>
      </c>
      <c r="U162" s="8">
        <v>48.07</v>
      </c>
      <c r="V162" s="6" t="s">
        <v>911</v>
      </c>
      <c r="W162" s="6" t="s">
        <v>131</v>
      </c>
    </row>
    <row r="163" spans="1:23">
      <c r="A163" s="6">
        <v>160</v>
      </c>
      <c r="B163" s="7" t="s">
        <v>912</v>
      </c>
      <c r="C163" s="7" t="s">
        <v>913</v>
      </c>
      <c r="D163" s="6" t="s">
        <v>24</v>
      </c>
      <c r="E163" s="6" t="s">
        <v>914</v>
      </c>
      <c r="F163" s="6" t="s">
        <v>83</v>
      </c>
      <c r="G163" s="6" t="s">
        <v>90</v>
      </c>
      <c r="H163" s="7" t="s">
        <v>915</v>
      </c>
      <c r="I163" s="6" t="s">
        <v>73</v>
      </c>
      <c r="J163" s="6" t="s">
        <v>74</v>
      </c>
      <c r="K163" s="6">
        <v>600</v>
      </c>
      <c r="L163" s="6" t="s">
        <v>163</v>
      </c>
      <c r="M163" s="6" t="s">
        <v>10</v>
      </c>
      <c r="N163" s="6" t="s">
        <v>11</v>
      </c>
      <c r="O163" s="6" t="s">
        <v>33</v>
      </c>
      <c r="P163" s="6" t="s">
        <v>200</v>
      </c>
      <c r="Q163" s="6" t="s">
        <v>129</v>
      </c>
      <c r="R163" s="8">
        <v>1.8</v>
      </c>
      <c r="S163" s="8">
        <v>36.65</v>
      </c>
      <c r="T163" s="8">
        <v>22.16</v>
      </c>
      <c r="U163" s="8">
        <v>58.81</v>
      </c>
      <c r="V163" s="6" t="s">
        <v>916</v>
      </c>
      <c r="W163" s="6" t="s">
        <v>119</v>
      </c>
    </row>
    <row r="164" spans="1:23">
      <c r="A164" s="6">
        <v>161</v>
      </c>
      <c r="B164" s="7" t="s">
        <v>917</v>
      </c>
      <c r="C164" s="7" t="s">
        <v>121</v>
      </c>
      <c r="D164" s="6" t="s">
        <v>22</v>
      </c>
      <c r="E164" s="6" t="s">
        <v>918</v>
      </c>
      <c r="F164" s="6" t="s">
        <v>83</v>
      </c>
      <c r="G164" s="6" t="s">
        <v>919</v>
      </c>
      <c r="H164" s="7" t="s">
        <v>920</v>
      </c>
      <c r="I164" s="6" t="s">
        <v>86</v>
      </c>
      <c r="J164" s="6" t="s">
        <v>125</v>
      </c>
      <c r="K164" s="6">
        <v>6</v>
      </c>
      <c r="L164" s="6" t="s">
        <v>267</v>
      </c>
      <c r="M164" s="6" t="s">
        <v>17</v>
      </c>
      <c r="N164" s="6" t="s">
        <v>15</v>
      </c>
      <c r="O164" s="6" t="s">
        <v>127</v>
      </c>
      <c r="P164" s="6" t="s">
        <v>76</v>
      </c>
      <c r="Q164" s="6" t="s">
        <v>149</v>
      </c>
      <c r="R164" s="8">
        <v>4.0999999999999996</v>
      </c>
      <c r="S164" s="8">
        <v>117.17</v>
      </c>
      <c r="T164" s="8">
        <v>38.75</v>
      </c>
      <c r="U164" s="8">
        <v>155.91999999999999</v>
      </c>
      <c r="V164" s="6" t="s">
        <v>921</v>
      </c>
      <c r="W164" s="6" t="s">
        <v>348</v>
      </c>
    </row>
    <row r="165" spans="1:23">
      <c r="A165" s="6">
        <v>162</v>
      </c>
      <c r="B165" s="7" t="s">
        <v>922</v>
      </c>
      <c r="C165" s="7" t="s">
        <v>121</v>
      </c>
      <c r="D165" s="6" t="s">
        <v>20</v>
      </c>
      <c r="E165" s="6" t="s">
        <v>923</v>
      </c>
      <c r="F165" s="6" t="s">
        <v>70</v>
      </c>
      <c r="G165" s="6" t="s">
        <v>924</v>
      </c>
      <c r="H165" s="7" t="s">
        <v>925</v>
      </c>
      <c r="I165" s="6" t="s">
        <v>86</v>
      </c>
      <c r="J165" s="6" t="s">
        <v>74</v>
      </c>
      <c r="K165" s="6">
        <v>400</v>
      </c>
      <c r="L165" s="6" t="s">
        <v>126</v>
      </c>
      <c r="M165" s="6" t="s">
        <v>8</v>
      </c>
      <c r="N165" s="6" t="s">
        <v>9</v>
      </c>
      <c r="O165" s="6" t="s">
        <v>27</v>
      </c>
      <c r="P165" s="6" t="s">
        <v>178</v>
      </c>
      <c r="Q165" s="6" t="s">
        <v>179</v>
      </c>
      <c r="R165" s="8">
        <v>1.6</v>
      </c>
      <c r="S165" s="8">
        <v>37.89</v>
      </c>
      <c r="T165" s="8">
        <v>0</v>
      </c>
      <c r="U165" s="8">
        <v>37.89</v>
      </c>
      <c r="V165" s="6" t="s">
        <v>121</v>
      </c>
      <c r="W165" s="6" t="s">
        <v>444</v>
      </c>
    </row>
    <row r="166" spans="1:23">
      <c r="A166" s="6">
        <v>163</v>
      </c>
      <c r="B166" s="7" t="s">
        <v>926</v>
      </c>
      <c r="C166" s="7" t="s">
        <v>121</v>
      </c>
      <c r="D166" s="6" t="s">
        <v>20</v>
      </c>
      <c r="E166" s="6" t="s">
        <v>927</v>
      </c>
      <c r="F166" s="6" t="s">
        <v>83</v>
      </c>
      <c r="G166" s="6" t="s">
        <v>928</v>
      </c>
      <c r="H166" s="7" t="s">
        <v>929</v>
      </c>
      <c r="I166" s="6" t="s">
        <v>86</v>
      </c>
      <c r="J166" s="6" t="s">
        <v>74</v>
      </c>
      <c r="K166" s="6">
        <v>400</v>
      </c>
      <c r="L166" s="6" t="s">
        <v>241</v>
      </c>
      <c r="M166" s="6" t="s">
        <v>8</v>
      </c>
      <c r="N166" s="6" t="s">
        <v>9</v>
      </c>
      <c r="O166" s="6" t="s">
        <v>25</v>
      </c>
      <c r="P166" s="6" t="s">
        <v>172</v>
      </c>
      <c r="Q166" s="6" t="s">
        <v>225</v>
      </c>
      <c r="R166" s="8">
        <v>2.7</v>
      </c>
      <c r="S166" s="8">
        <v>123.74</v>
      </c>
      <c r="T166" s="8">
        <v>0</v>
      </c>
      <c r="U166" s="8">
        <v>123.74</v>
      </c>
      <c r="V166" s="6" t="s">
        <v>121</v>
      </c>
      <c r="W166" s="6" t="s">
        <v>744</v>
      </c>
    </row>
    <row r="167" spans="1:23">
      <c r="A167" s="6">
        <v>164</v>
      </c>
      <c r="B167" s="7" t="s">
        <v>930</v>
      </c>
      <c r="C167" s="7" t="s">
        <v>121</v>
      </c>
      <c r="D167" s="6" t="s">
        <v>20</v>
      </c>
      <c r="E167" s="6" t="s">
        <v>931</v>
      </c>
      <c r="F167" s="6" t="s">
        <v>83</v>
      </c>
      <c r="G167" s="6" t="s">
        <v>932</v>
      </c>
      <c r="H167" s="7" t="s">
        <v>933</v>
      </c>
      <c r="I167" s="6" t="s">
        <v>86</v>
      </c>
      <c r="J167" s="6" t="s">
        <v>125</v>
      </c>
      <c r="K167" s="6">
        <v>60</v>
      </c>
      <c r="L167" s="6" t="s">
        <v>107</v>
      </c>
      <c r="M167" s="6" t="s">
        <v>8</v>
      </c>
      <c r="N167" s="6" t="s">
        <v>9</v>
      </c>
      <c r="O167" s="6" t="s">
        <v>21</v>
      </c>
      <c r="P167" s="6" t="s">
        <v>99</v>
      </c>
      <c r="Q167" s="6" t="s">
        <v>139</v>
      </c>
      <c r="R167" s="8">
        <v>6.8</v>
      </c>
      <c r="S167" s="8">
        <v>252.4</v>
      </c>
      <c r="T167" s="8">
        <v>0</v>
      </c>
      <c r="U167" s="8">
        <v>252.4</v>
      </c>
      <c r="V167" s="6" t="s">
        <v>121</v>
      </c>
      <c r="W167" s="6" t="s">
        <v>79</v>
      </c>
    </row>
    <row r="168" spans="1:23">
      <c r="A168" s="6">
        <v>165</v>
      </c>
      <c r="B168" s="7" t="s">
        <v>934</v>
      </c>
      <c r="C168" s="7" t="s">
        <v>121</v>
      </c>
      <c r="D168" s="6" t="s">
        <v>38</v>
      </c>
      <c r="E168" s="6" t="s">
        <v>935</v>
      </c>
      <c r="F168" s="6" t="s">
        <v>83</v>
      </c>
      <c r="G168" s="6" t="s">
        <v>610</v>
      </c>
      <c r="H168" s="7" t="s">
        <v>936</v>
      </c>
      <c r="I168" s="6" t="s">
        <v>137</v>
      </c>
      <c r="J168" s="6" t="s">
        <v>74</v>
      </c>
      <c r="K168" s="6">
        <v>200</v>
      </c>
      <c r="L168" s="6" t="s">
        <v>75</v>
      </c>
      <c r="M168" s="6" t="s">
        <v>17</v>
      </c>
      <c r="N168" s="6" t="s">
        <v>9</v>
      </c>
      <c r="O168" s="6" t="s">
        <v>33</v>
      </c>
      <c r="P168" s="6" t="s">
        <v>277</v>
      </c>
      <c r="Q168" s="6" t="s">
        <v>149</v>
      </c>
      <c r="R168" s="8">
        <v>0</v>
      </c>
      <c r="S168" s="8">
        <v>4.58</v>
      </c>
      <c r="T168" s="8">
        <v>4.3899999999999997</v>
      </c>
      <c r="U168" s="8">
        <v>8.9700000000000006</v>
      </c>
      <c r="V168" s="6" t="s">
        <v>937</v>
      </c>
      <c r="W168" s="6" t="s">
        <v>291</v>
      </c>
    </row>
    <row r="169" spans="1:23">
      <c r="A169" s="6">
        <v>166</v>
      </c>
      <c r="B169" s="7" t="s">
        <v>938</v>
      </c>
      <c r="C169" s="7" t="s">
        <v>121</v>
      </c>
      <c r="D169" s="6" t="s">
        <v>28</v>
      </c>
      <c r="E169" s="6" t="s">
        <v>939</v>
      </c>
      <c r="F169" s="6" t="s">
        <v>83</v>
      </c>
      <c r="G169" s="6" t="s">
        <v>367</v>
      </c>
      <c r="H169" s="7" t="s">
        <v>940</v>
      </c>
      <c r="I169" s="6" t="s">
        <v>137</v>
      </c>
      <c r="J169" s="6" t="s">
        <v>87</v>
      </c>
      <c r="K169" s="6">
        <v>4000</v>
      </c>
      <c r="L169" s="6" t="s">
        <v>199</v>
      </c>
      <c r="M169" s="6" t="s">
        <v>10</v>
      </c>
      <c r="N169" s="6" t="s">
        <v>11</v>
      </c>
      <c r="O169" s="6" t="s">
        <v>33</v>
      </c>
      <c r="P169" s="6" t="s">
        <v>192</v>
      </c>
      <c r="Q169" s="6" t="s">
        <v>289</v>
      </c>
      <c r="R169" s="8">
        <v>0</v>
      </c>
      <c r="S169" s="8">
        <v>2.2400000000000002</v>
      </c>
      <c r="T169" s="8">
        <v>24.94</v>
      </c>
      <c r="U169" s="8">
        <v>27.18</v>
      </c>
      <c r="V169" s="6" t="s">
        <v>941</v>
      </c>
      <c r="W169" s="6" t="s">
        <v>151</v>
      </c>
    </row>
    <row r="170" spans="1:23">
      <c r="A170" s="6">
        <v>167</v>
      </c>
      <c r="B170" s="7" t="s">
        <v>942</v>
      </c>
      <c r="C170" s="7" t="s">
        <v>121</v>
      </c>
      <c r="D170" s="6" t="s">
        <v>20</v>
      </c>
      <c r="E170" s="6" t="s">
        <v>943</v>
      </c>
      <c r="F170" s="6" t="s">
        <v>70</v>
      </c>
      <c r="G170" s="6" t="s">
        <v>944</v>
      </c>
      <c r="H170" s="7" t="s">
        <v>945</v>
      </c>
      <c r="I170" s="6" t="s">
        <v>86</v>
      </c>
      <c r="J170" s="6" t="s">
        <v>87</v>
      </c>
      <c r="K170" s="6">
        <v>2000</v>
      </c>
      <c r="L170" s="6" t="s">
        <v>327</v>
      </c>
      <c r="M170" s="6" t="s">
        <v>10</v>
      </c>
      <c r="N170" s="6" t="s">
        <v>11</v>
      </c>
      <c r="O170" s="6" t="s">
        <v>43</v>
      </c>
      <c r="P170" s="6" t="s">
        <v>108</v>
      </c>
      <c r="Q170" s="6" t="s">
        <v>206</v>
      </c>
      <c r="R170" s="8">
        <v>2.2000000000000002</v>
      </c>
      <c r="S170" s="8">
        <v>58.88</v>
      </c>
      <c r="T170" s="8">
        <v>23.31</v>
      </c>
      <c r="U170" s="8">
        <v>82.19</v>
      </c>
      <c r="V170" s="6" t="s">
        <v>946</v>
      </c>
      <c r="W170" s="6" t="s">
        <v>391</v>
      </c>
    </row>
    <row r="171" spans="1:23">
      <c r="A171" s="6">
        <v>168</v>
      </c>
      <c r="B171" s="7" t="s">
        <v>947</v>
      </c>
      <c r="C171" s="7" t="s">
        <v>948</v>
      </c>
      <c r="D171" s="6" t="s">
        <v>26</v>
      </c>
      <c r="E171" s="6" t="s">
        <v>949</v>
      </c>
      <c r="F171" s="6" t="s">
        <v>83</v>
      </c>
      <c r="G171" s="6" t="s">
        <v>537</v>
      </c>
      <c r="H171" s="7" t="s">
        <v>950</v>
      </c>
      <c r="I171" s="6" t="s">
        <v>137</v>
      </c>
      <c r="J171" s="6" t="s">
        <v>125</v>
      </c>
      <c r="K171" s="6">
        <v>60</v>
      </c>
      <c r="L171" s="6" t="s">
        <v>218</v>
      </c>
      <c r="M171" s="6" t="s">
        <v>10</v>
      </c>
      <c r="N171" s="6" t="s">
        <v>9</v>
      </c>
      <c r="O171" s="6" t="s">
        <v>29</v>
      </c>
      <c r="P171" s="6" t="s">
        <v>117</v>
      </c>
      <c r="Q171" s="6" t="s">
        <v>158</v>
      </c>
      <c r="R171" s="8">
        <v>0</v>
      </c>
      <c r="S171" s="8">
        <v>1.24</v>
      </c>
      <c r="T171" s="8">
        <v>21.94</v>
      </c>
      <c r="U171" s="8">
        <v>23.18</v>
      </c>
      <c r="V171" s="6" t="s">
        <v>951</v>
      </c>
      <c r="W171" s="6" t="s">
        <v>173</v>
      </c>
    </row>
    <row r="172" spans="1:23" ht="22.35">
      <c r="A172" s="6">
        <v>169</v>
      </c>
      <c r="B172" s="7" t="s">
        <v>952</v>
      </c>
      <c r="C172" s="7" t="s">
        <v>121</v>
      </c>
      <c r="D172" s="6" t="s">
        <v>24</v>
      </c>
      <c r="E172" s="6" t="s">
        <v>953</v>
      </c>
      <c r="F172" s="6" t="s">
        <v>83</v>
      </c>
      <c r="G172" s="6" t="s">
        <v>861</v>
      </c>
      <c r="H172" s="7" t="s">
        <v>954</v>
      </c>
      <c r="I172" s="6" t="s">
        <v>137</v>
      </c>
      <c r="J172" s="6" t="s">
        <v>74</v>
      </c>
      <c r="K172" s="6">
        <v>400</v>
      </c>
      <c r="L172" s="6" t="s">
        <v>138</v>
      </c>
      <c r="M172" s="6" t="s">
        <v>16</v>
      </c>
      <c r="N172" s="6" t="s">
        <v>9</v>
      </c>
      <c r="O172" s="6" t="s">
        <v>25</v>
      </c>
      <c r="P172" s="6" t="s">
        <v>172</v>
      </c>
      <c r="Q172" s="6" t="s">
        <v>149</v>
      </c>
      <c r="R172" s="8">
        <v>0</v>
      </c>
      <c r="S172" s="8">
        <v>7.0000000000000007E-2</v>
      </c>
      <c r="T172" s="8">
        <v>0</v>
      </c>
      <c r="U172" s="8">
        <v>7.0000000000000007E-2</v>
      </c>
      <c r="V172" s="6" t="s">
        <v>121</v>
      </c>
      <c r="W172" s="6" t="s">
        <v>242</v>
      </c>
    </row>
    <row r="173" spans="1:23">
      <c r="A173" s="6">
        <v>170</v>
      </c>
      <c r="B173" s="7" t="s">
        <v>955</v>
      </c>
      <c r="C173" s="7" t="s">
        <v>121</v>
      </c>
      <c r="D173" s="6" t="s">
        <v>24</v>
      </c>
      <c r="E173" s="6" t="s">
        <v>956</v>
      </c>
      <c r="F173" s="6" t="s">
        <v>70</v>
      </c>
      <c r="G173" s="6" t="s">
        <v>957</v>
      </c>
      <c r="H173" s="7" t="s">
        <v>958</v>
      </c>
      <c r="I173" s="6" t="s">
        <v>73</v>
      </c>
      <c r="J173" s="6" t="s">
        <v>125</v>
      </c>
      <c r="K173" s="6">
        <v>60</v>
      </c>
      <c r="L173" s="6" t="s">
        <v>75</v>
      </c>
      <c r="M173" s="6" t="s">
        <v>8</v>
      </c>
      <c r="N173" s="6" t="s">
        <v>9</v>
      </c>
      <c r="O173" s="6" t="s">
        <v>21</v>
      </c>
      <c r="P173" s="6" t="s">
        <v>128</v>
      </c>
      <c r="Q173" s="6" t="s">
        <v>129</v>
      </c>
      <c r="R173" s="8">
        <v>10.9</v>
      </c>
      <c r="S173" s="8">
        <v>211.78</v>
      </c>
      <c r="T173" s="8">
        <v>0</v>
      </c>
      <c r="U173" s="8">
        <v>211.78</v>
      </c>
      <c r="V173" s="6" t="s">
        <v>121</v>
      </c>
      <c r="W173" s="6" t="s">
        <v>368</v>
      </c>
    </row>
    <row r="174" spans="1:23">
      <c r="A174" s="6">
        <v>171</v>
      </c>
      <c r="B174" s="7" t="s">
        <v>959</v>
      </c>
      <c r="C174" s="7" t="s">
        <v>121</v>
      </c>
      <c r="D174" s="6" t="s">
        <v>34</v>
      </c>
      <c r="E174" s="6" t="s">
        <v>960</v>
      </c>
      <c r="F174" s="6" t="s">
        <v>83</v>
      </c>
      <c r="G174" s="6" t="s">
        <v>961</v>
      </c>
      <c r="H174" s="7" t="s">
        <v>962</v>
      </c>
      <c r="I174" s="6" t="s">
        <v>137</v>
      </c>
      <c r="J174" s="6" t="s">
        <v>125</v>
      </c>
      <c r="K174" s="6">
        <v>40</v>
      </c>
      <c r="L174" s="6" t="s">
        <v>267</v>
      </c>
      <c r="M174" s="6" t="s">
        <v>10</v>
      </c>
      <c r="N174" s="6" t="s">
        <v>13</v>
      </c>
      <c r="O174" s="6" t="s">
        <v>35</v>
      </c>
      <c r="P174" s="6" t="s">
        <v>256</v>
      </c>
      <c r="Q174" s="6" t="s">
        <v>149</v>
      </c>
      <c r="R174" s="8">
        <v>0</v>
      </c>
      <c r="S174" s="8">
        <v>4.75</v>
      </c>
      <c r="T174" s="8">
        <v>10.029999999999999</v>
      </c>
      <c r="U174" s="8">
        <v>14.78</v>
      </c>
      <c r="V174" s="6" t="s">
        <v>963</v>
      </c>
      <c r="W174" s="6" t="s">
        <v>317</v>
      </c>
    </row>
    <row r="175" spans="1:23">
      <c r="A175" s="6">
        <v>172</v>
      </c>
      <c r="B175" s="7" t="s">
        <v>964</v>
      </c>
      <c r="C175" s="7" t="s">
        <v>121</v>
      </c>
      <c r="D175" s="6" t="s">
        <v>26</v>
      </c>
      <c r="E175" s="6" t="s">
        <v>965</v>
      </c>
      <c r="F175" s="6" t="s">
        <v>70</v>
      </c>
      <c r="G175" s="6" t="s">
        <v>966</v>
      </c>
      <c r="H175" s="7" t="s">
        <v>967</v>
      </c>
      <c r="I175" s="6" t="s">
        <v>147</v>
      </c>
      <c r="J175" s="6" t="s">
        <v>74</v>
      </c>
      <c r="K175" s="6">
        <v>400</v>
      </c>
      <c r="L175" s="6" t="s">
        <v>107</v>
      </c>
      <c r="M175" s="6" t="s">
        <v>10</v>
      </c>
      <c r="N175" s="6" t="s">
        <v>11</v>
      </c>
      <c r="O175" s="6" t="s">
        <v>43</v>
      </c>
      <c r="P175" s="6" t="s">
        <v>256</v>
      </c>
      <c r="Q175" s="6" t="s">
        <v>149</v>
      </c>
      <c r="R175" s="8">
        <v>5.7</v>
      </c>
      <c r="S175" s="8">
        <v>225.91</v>
      </c>
      <c r="T175" s="8">
        <v>21.45</v>
      </c>
      <c r="U175" s="8">
        <v>247.36</v>
      </c>
      <c r="V175" s="6" t="s">
        <v>968</v>
      </c>
      <c r="W175" s="6" t="s">
        <v>460</v>
      </c>
    </row>
    <row r="176" spans="1:23" ht="22.35">
      <c r="A176" s="6">
        <v>173</v>
      </c>
      <c r="B176" s="7" t="s">
        <v>969</v>
      </c>
      <c r="C176" s="7" t="s">
        <v>970</v>
      </c>
      <c r="D176" s="6" t="s">
        <v>24</v>
      </c>
      <c r="E176" s="6" t="s">
        <v>971</v>
      </c>
      <c r="F176" s="6" t="s">
        <v>83</v>
      </c>
      <c r="G176" s="6" t="s">
        <v>692</v>
      </c>
      <c r="H176" s="7" t="s">
        <v>972</v>
      </c>
      <c r="I176" s="6" t="s">
        <v>86</v>
      </c>
      <c r="J176" s="6" t="s">
        <v>125</v>
      </c>
      <c r="K176" s="6">
        <v>40</v>
      </c>
      <c r="L176" s="6" t="s">
        <v>171</v>
      </c>
      <c r="M176" s="6" t="s">
        <v>16</v>
      </c>
      <c r="N176" s="6" t="s">
        <v>11</v>
      </c>
      <c r="O176" s="6" t="s">
        <v>43</v>
      </c>
      <c r="P176" s="6" t="s">
        <v>192</v>
      </c>
      <c r="Q176" s="6" t="s">
        <v>129</v>
      </c>
      <c r="R176" s="8">
        <v>15.9</v>
      </c>
      <c r="S176" s="8">
        <v>432.7</v>
      </c>
      <c r="T176" s="8">
        <v>0</v>
      </c>
      <c r="U176" s="8">
        <v>432.7</v>
      </c>
      <c r="V176" s="6" t="s">
        <v>121</v>
      </c>
      <c r="W176" s="6" t="s">
        <v>141</v>
      </c>
    </row>
    <row r="177" spans="1:23">
      <c r="A177" s="6">
        <v>174</v>
      </c>
      <c r="B177" s="7" t="s">
        <v>973</v>
      </c>
      <c r="C177" s="7" t="s">
        <v>974</v>
      </c>
      <c r="D177" s="6" t="s">
        <v>26</v>
      </c>
      <c r="E177" s="6" t="s">
        <v>975</v>
      </c>
      <c r="F177" s="6" t="s">
        <v>83</v>
      </c>
      <c r="G177" s="6" t="s">
        <v>976</v>
      </c>
      <c r="H177" s="7" t="s">
        <v>977</v>
      </c>
      <c r="I177" s="6" t="s">
        <v>86</v>
      </c>
      <c r="J177" s="6" t="s">
        <v>125</v>
      </c>
      <c r="K177" s="6">
        <v>40</v>
      </c>
      <c r="L177" s="6" t="s">
        <v>199</v>
      </c>
      <c r="M177" s="6" t="s">
        <v>8</v>
      </c>
      <c r="N177" s="6" t="s">
        <v>11</v>
      </c>
      <c r="O177" s="6" t="s">
        <v>43</v>
      </c>
      <c r="P177" s="6" t="s">
        <v>192</v>
      </c>
      <c r="Q177" s="6" t="s">
        <v>158</v>
      </c>
      <c r="R177" s="8">
        <v>12</v>
      </c>
      <c r="S177" s="8">
        <v>502.89</v>
      </c>
      <c r="T177" s="8">
        <v>0</v>
      </c>
      <c r="U177" s="8">
        <v>502.89</v>
      </c>
      <c r="V177" s="6" t="s">
        <v>121</v>
      </c>
      <c r="W177" s="6" t="s">
        <v>141</v>
      </c>
    </row>
    <row r="178" spans="1:23">
      <c r="A178" s="6">
        <v>175</v>
      </c>
      <c r="B178" s="7" t="s">
        <v>978</v>
      </c>
      <c r="C178" s="7" t="s">
        <v>979</v>
      </c>
      <c r="D178" s="6" t="s">
        <v>30</v>
      </c>
      <c r="E178" s="6" t="s">
        <v>980</v>
      </c>
      <c r="F178" s="6" t="s">
        <v>83</v>
      </c>
      <c r="G178" s="6" t="s">
        <v>981</v>
      </c>
      <c r="H178" s="7" t="s">
        <v>982</v>
      </c>
      <c r="I178" s="6" t="s">
        <v>86</v>
      </c>
      <c r="J178" s="6" t="s">
        <v>125</v>
      </c>
      <c r="K178" s="6">
        <v>40</v>
      </c>
      <c r="L178" s="6" t="s">
        <v>163</v>
      </c>
      <c r="M178" s="6" t="s">
        <v>10</v>
      </c>
      <c r="N178" s="6" t="s">
        <v>11</v>
      </c>
      <c r="O178" s="6" t="s">
        <v>43</v>
      </c>
      <c r="P178" s="6" t="s">
        <v>433</v>
      </c>
      <c r="Q178" s="6" t="s">
        <v>434</v>
      </c>
      <c r="R178" s="8">
        <v>13</v>
      </c>
      <c r="S178" s="8">
        <v>363.73</v>
      </c>
      <c r="T178" s="8">
        <v>12.68</v>
      </c>
      <c r="U178" s="8">
        <v>376.41</v>
      </c>
      <c r="V178" s="6" t="s">
        <v>983</v>
      </c>
      <c r="W178" s="6" t="s">
        <v>391</v>
      </c>
    </row>
    <row r="179" spans="1:23">
      <c r="A179" s="6">
        <v>176</v>
      </c>
      <c r="B179" s="7" t="s">
        <v>984</v>
      </c>
      <c r="C179" s="7" t="s">
        <v>985</v>
      </c>
      <c r="D179" s="6" t="s">
        <v>30</v>
      </c>
      <c r="E179" s="6" t="s">
        <v>986</v>
      </c>
      <c r="F179" s="6" t="s">
        <v>83</v>
      </c>
      <c r="G179" s="6" t="s">
        <v>987</v>
      </c>
      <c r="H179" s="7" t="s">
        <v>988</v>
      </c>
      <c r="I179" s="6" t="s">
        <v>137</v>
      </c>
      <c r="J179" s="6" t="s">
        <v>74</v>
      </c>
      <c r="K179" s="6">
        <v>400</v>
      </c>
      <c r="L179" s="6" t="s">
        <v>241</v>
      </c>
      <c r="M179" s="6" t="s">
        <v>17</v>
      </c>
      <c r="N179" s="6" t="s">
        <v>13</v>
      </c>
      <c r="O179" s="6" t="s">
        <v>35</v>
      </c>
      <c r="P179" s="6" t="s">
        <v>117</v>
      </c>
      <c r="Q179" s="6" t="s">
        <v>426</v>
      </c>
      <c r="R179" s="8">
        <v>0</v>
      </c>
      <c r="S179" s="8">
        <v>4.9400000000000004</v>
      </c>
      <c r="T179" s="8">
        <v>43.29</v>
      </c>
      <c r="U179" s="8">
        <v>48.23</v>
      </c>
      <c r="V179" s="6" t="s">
        <v>145</v>
      </c>
      <c r="W179" s="6" t="s">
        <v>368</v>
      </c>
    </row>
    <row r="180" spans="1:23">
      <c r="A180" s="6">
        <v>177</v>
      </c>
      <c r="B180" s="7" t="s">
        <v>989</v>
      </c>
      <c r="C180" s="7" t="s">
        <v>121</v>
      </c>
      <c r="D180" s="6" t="s">
        <v>22</v>
      </c>
      <c r="E180" s="6" t="s">
        <v>990</v>
      </c>
      <c r="F180" s="6" t="s">
        <v>83</v>
      </c>
      <c r="G180" s="6" t="s">
        <v>503</v>
      </c>
      <c r="H180" s="7" t="s">
        <v>991</v>
      </c>
      <c r="I180" s="6" t="s">
        <v>86</v>
      </c>
      <c r="J180" s="6" t="s">
        <v>125</v>
      </c>
      <c r="K180" s="6">
        <v>6</v>
      </c>
      <c r="L180" s="6" t="s">
        <v>75</v>
      </c>
      <c r="M180" s="6" t="s">
        <v>12</v>
      </c>
      <c r="N180" s="6" t="s">
        <v>11</v>
      </c>
      <c r="O180" s="6" t="s">
        <v>31</v>
      </c>
      <c r="P180" s="6" t="s">
        <v>117</v>
      </c>
      <c r="Q180" s="6" t="s">
        <v>426</v>
      </c>
      <c r="R180" s="8">
        <v>12</v>
      </c>
      <c r="S180" s="8">
        <v>223.21</v>
      </c>
      <c r="T180" s="8">
        <v>26.41</v>
      </c>
      <c r="U180" s="8">
        <v>249.62</v>
      </c>
      <c r="V180" s="6" t="s">
        <v>614</v>
      </c>
      <c r="W180" s="6" t="s">
        <v>151</v>
      </c>
    </row>
    <row r="181" spans="1:23">
      <c r="A181" s="6">
        <v>178</v>
      </c>
      <c r="B181" s="7" t="s">
        <v>992</v>
      </c>
      <c r="C181" s="7" t="s">
        <v>121</v>
      </c>
      <c r="D181" s="6" t="s">
        <v>20</v>
      </c>
      <c r="E181" s="6" t="s">
        <v>993</v>
      </c>
      <c r="F181" s="6" t="s">
        <v>70</v>
      </c>
      <c r="G181" s="6" t="s">
        <v>994</v>
      </c>
      <c r="H181" s="7" t="s">
        <v>995</v>
      </c>
      <c r="I181" s="6" t="s">
        <v>86</v>
      </c>
      <c r="J181" s="6" t="s">
        <v>74</v>
      </c>
      <c r="K181" s="6">
        <v>200</v>
      </c>
      <c r="L181" s="6" t="s">
        <v>163</v>
      </c>
      <c r="M181" s="6" t="s">
        <v>10</v>
      </c>
      <c r="N181" s="6" t="s">
        <v>9</v>
      </c>
      <c r="O181" s="6" t="s">
        <v>29</v>
      </c>
      <c r="P181" s="6" t="s">
        <v>192</v>
      </c>
      <c r="Q181" s="6" t="s">
        <v>129</v>
      </c>
      <c r="R181" s="8">
        <v>7.8</v>
      </c>
      <c r="S181" s="8">
        <v>135.13999999999999</v>
      </c>
      <c r="T181" s="8">
        <v>35.04</v>
      </c>
      <c r="U181" s="8">
        <v>170.18</v>
      </c>
      <c r="V181" s="6" t="s">
        <v>275</v>
      </c>
      <c r="W181" s="6" t="s">
        <v>91</v>
      </c>
    </row>
    <row r="182" spans="1:23">
      <c r="A182" s="6">
        <v>179</v>
      </c>
      <c r="B182" s="7" t="s">
        <v>996</v>
      </c>
      <c r="C182" s="7" t="s">
        <v>121</v>
      </c>
      <c r="D182" s="6" t="s">
        <v>22</v>
      </c>
      <c r="E182" s="6" t="s">
        <v>997</v>
      </c>
      <c r="F182" s="6" t="s">
        <v>70</v>
      </c>
      <c r="G182" s="6" t="s">
        <v>998</v>
      </c>
      <c r="H182" s="7" t="s">
        <v>999</v>
      </c>
      <c r="I182" s="6" t="s">
        <v>73</v>
      </c>
      <c r="J182" s="6" t="s">
        <v>74</v>
      </c>
      <c r="K182" s="6">
        <v>600</v>
      </c>
      <c r="L182" s="6" t="s">
        <v>218</v>
      </c>
      <c r="M182" s="6" t="s">
        <v>12</v>
      </c>
      <c r="N182" s="6" t="s">
        <v>13</v>
      </c>
      <c r="O182" s="6" t="s">
        <v>35</v>
      </c>
      <c r="P182" s="6" t="s">
        <v>148</v>
      </c>
      <c r="Q182" s="6" t="s">
        <v>149</v>
      </c>
      <c r="R182" s="8">
        <v>14.6</v>
      </c>
      <c r="S182" s="8">
        <v>484.54</v>
      </c>
      <c r="T182" s="8">
        <v>31.38</v>
      </c>
      <c r="U182" s="8">
        <v>515.91999999999996</v>
      </c>
      <c r="V182" s="6" t="s">
        <v>1000</v>
      </c>
      <c r="W182" s="6" t="s">
        <v>257</v>
      </c>
    </row>
    <row r="183" spans="1:23" ht="22.35">
      <c r="A183" s="6">
        <v>180</v>
      </c>
      <c r="B183" s="7" t="s">
        <v>1001</v>
      </c>
      <c r="C183" s="7" t="s">
        <v>1002</v>
      </c>
      <c r="D183" s="6" t="s">
        <v>24</v>
      </c>
      <c r="E183" s="6" t="s">
        <v>1003</v>
      </c>
      <c r="F183" s="6" t="s">
        <v>83</v>
      </c>
      <c r="G183" s="6" t="s">
        <v>1004</v>
      </c>
      <c r="H183" s="7" t="s">
        <v>1005</v>
      </c>
      <c r="I183" s="6" t="s">
        <v>396</v>
      </c>
      <c r="J183" s="6" t="s">
        <v>74</v>
      </c>
      <c r="K183" s="6">
        <v>200</v>
      </c>
      <c r="L183" s="6" t="s">
        <v>199</v>
      </c>
      <c r="M183" s="6" t="s">
        <v>16</v>
      </c>
      <c r="N183" s="6" t="s">
        <v>9</v>
      </c>
      <c r="O183" s="6" t="s">
        <v>33</v>
      </c>
      <c r="P183" s="6" t="s">
        <v>277</v>
      </c>
      <c r="Q183" s="6" t="s">
        <v>149</v>
      </c>
      <c r="R183" s="8">
        <v>0</v>
      </c>
      <c r="S183" s="8">
        <v>1.36</v>
      </c>
      <c r="T183" s="8">
        <v>0</v>
      </c>
      <c r="U183" s="8">
        <v>1.36</v>
      </c>
      <c r="V183" s="6" t="s">
        <v>121</v>
      </c>
      <c r="W183" s="6" t="s">
        <v>173</v>
      </c>
    </row>
    <row r="184" spans="1:23" ht="22.35">
      <c r="A184" s="6">
        <v>181</v>
      </c>
      <c r="B184" s="7" t="s">
        <v>1006</v>
      </c>
      <c r="C184" s="7" t="s">
        <v>121</v>
      </c>
      <c r="D184" s="6" t="s">
        <v>36</v>
      </c>
      <c r="E184" s="6" t="s">
        <v>1007</v>
      </c>
      <c r="F184" s="6" t="s">
        <v>83</v>
      </c>
      <c r="G184" s="6" t="s">
        <v>983</v>
      </c>
      <c r="H184" s="7" t="s">
        <v>1008</v>
      </c>
      <c r="I184" s="6" t="s">
        <v>86</v>
      </c>
      <c r="J184" s="6" t="s">
        <v>125</v>
      </c>
      <c r="K184" s="6">
        <v>60</v>
      </c>
      <c r="L184" s="6" t="s">
        <v>116</v>
      </c>
      <c r="M184" s="6" t="s">
        <v>16</v>
      </c>
      <c r="N184" s="6" t="s">
        <v>9</v>
      </c>
      <c r="O184" s="6" t="s">
        <v>21</v>
      </c>
      <c r="P184" s="6" t="s">
        <v>108</v>
      </c>
      <c r="Q184" s="6" t="s">
        <v>206</v>
      </c>
      <c r="R184" s="8">
        <v>2.4</v>
      </c>
      <c r="S184" s="8">
        <v>91.92</v>
      </c>
      <c r="T184" s="8">
        <v>0</v>
      </c>
      <c r="U184" s="8">
        <v>91.92</v>
      </c>
      <c r="V184" s="6" t="s">
        <v>121</v>
      </c>
      <c r="W184" s="6" t="s">
        <v>242</v>
      </c>
    </row>
    <row r="185" spans="1:23">
      <c r="A185" s="6">
        <v>182</v>
      </c>
      <c r="B185" s="7" t="s">
        <v>1009</v>
      </c>
      <c r="C185" s="7" t="s">
        <v>121</v>
      </c>
      <c r="D185" s="6" t="s">
        <v>38</v>
      </c>
      <c r="E185" s="6" t="s">
        <v>1010</v>
      </c>
      <c r="F185" s="6" t="s">
        <v>70</v>
      </c>
      <c r="G185" s="6" t="s">
        <v>1011</v>
      </c>
      <c r="H185" s="7" t="s">
        <v>1012</v>
      </c>
      <c r="I185" s="6" t="s">
        <v>73</v>
      </c>
      <c r="J185" s="6" t="s">
        <v>125</v>
      </c>
      <c r="K185" s="6">
        <v>40</v>
      </c>
      <c r="L185" s="6" t="s">
        <v>75</v>
      </c>
      <c r="M185" s="6" t="s">
        <v>8</v>
      </c>
      <c r="N185" s="6" t="s">
        <v>9</v>
      </c>
      <c r="O185" s="6" t="s">
        <v>21</v>
      </c>
      <c r="P185" s="6" t="s">
        <v>192</v>
      </c>
      <c r="Q185" s="6" t="s">
        <v>129</v>
      </c>
      <c r="R185" s="8">
        <v>9.1</v>
      </c>
      <c r="S185" s="8">
        <v>185.25</v>
      </c>
      <c r="T185" s="8">
        <v>0</v>
      </c>
      <c r="U185" s="8">
        <v>185.25</v>
      </c>
      <c r="V185" s="6" t="s">
        <v>121</v>
      </c>
      <c r="W185" s="6" t="s">
        <v>460</v>
      </c>
    </row>
    <row r="186" spans="1:23">
      <c r="A186" s="6">
        <v>183</v>
      </c>
      <c r="B186" s="7" t="s">
        <v>1013</v>
      </c>
      <c r="C186" s="7" t="s">
        <v>121</v>
      </c>
      <c r="D186" s="6" t="s">
        <v>32</v>
      </c>
      <c r="E186" s="6" t="s">
        <v>1014</v>
      </c>
      <c r="F186" s="6" t="s">
        <v>83</v>
      </c>
      <c r="G186" s="6" t="s">
        <v>1015</v>
      </c>
      <c r="H186" s="7" t="s">
        <v>1016</v>
      </c>
      <c r="I186" s="6" t="s">
        <v>86</v>
      </c>
      <c r="J186" s="6" t="s">
        <v>125</v>
      </c>
      <c r="K186" s="6">
        <v>60</v>
      </c>
      <c r="L186" s="6" t="s">
        <v>327</v>
      </c>
      <c r="M186" s="6" t="s">
        <v>8</v>
      </c>
      <c r="N186" s="6" t="s">
        <v>11</v>
      </c>
      <c r="O186" s="6" t="s">
        <v>43</v>
      </c>
      <c r="P186" s="6" t="s">
        <v>256</v>
      </c>
      <c r="Q186" s="6" t="s">
        <v>149</v>
      </c>
      <c r="R186" s="8">
        <v>5</v>
      </c>
      <c r="S186" s="8">
        <v>66.489999999999995</v>
      </c>
      <c r="T186" s="8">
        <v>0</v>
      </c>
      <c r="U186" s="8">
        <v>66.489999999999995</v>
      </c>
      <c r="V186" s="6" t="s">
        <v>121</v>
      </c>
      <c r="W186" s="6" t="s">
        <v>119</v>
      </c>
    </row>
    <row r="187" spans="1:23">
      <c r="A187" s="6">
        <v>184</v>
      </c>
      <c r="B187" s="7" t="s">
        <v>1017</v>
      </c>
      <c r="C187" s="7" t="s">
        <v>121</v>
      </c>
      <c r="D187" s="6" t="s">
        <v>20</v>
      </c>
      <c r="E187" s="6" t="s">
        <v>1018</v>
      </c>
      <c r="F187" s="6" t="s">
        <v>70</v>
      </c>
      <c r="G187" s="6" t="s">
        <v>1019</v>
      </c>
      <c r="H187" s="7" t="s">
        <v>1020</v>
      </c>
      <c r="I187" s="6" t="s">
        <v>396</v>
      </c>
      <c r="J187" s="6" t="s">
        <v>125</v>
      </c>
      <c r="K187" s="6">
        <v>40</v>
      </c>
      <c r="L187" s="6" t="s">
        <v>97</v>
      </c>
      <c r="M187" s="6" t="s">
        <v>8</v>
      </c>
      <c r="N187" s="6" t="s">
        <v>15</v>
      </c>
      <c r="O187" s="6" t="s">
        <v>29</v>
      </c>
      <c r="P187" s="6" t="s">
        <v>192</v>
      </c>
      <c r="Q187" s="6" t="s">
        <v>129</v>
      </c>
      <c r="R187" s="8">
        <v>0</v>
      </c>
      <c r="S187" s="8">
        <v>0.8</v>
      </c>
      <c r="T187" s="8">
        <v>0</v>
      </c>
      <c r="U187" s="8">
        <v>0.8</v>
      </c>
      <c r="V187" s="6" t="s">
        <v>121</v>
      </c>
      <c r="W187" s="6" t="s">
        <v>131</v>
      </c>
    </row>
    <row r="188" spans="1:23">
      <c r="A188" s="6">
        <v>185</v>
      </c>
      <c r="B188" s="7" t="s">
        <v>1021</v>
      </c>
      <c r="C188" s="7" t="s">
        <v>1022</v>
      </c>
      <c r="D188" s="6" t="s">
        <v>40</v>
      </c>
      <c r="E188" s="6" t="s">
        <v>1023</v>
      </c>
      <c r="F188" s="6" t="s">
        <v>83</v>
      </c>
      <c r="G188" s="6" t="s">
        <v>1024</v>
      </c>
      <c r="H188" s="7" t="s">
        <v>1025</v>
      </c>
      <c r="I188" s="6" t="s">
        <v>137</v>
      </c>
      <c r="J188" s="6" t="s">
        <v>125</v>
      </c>
      <c r="K188" s="6">
        <v>6</v>
      </c>
      <c r="L188" s="6" t="s">
        <v>327</v>
      </c>
      <c r="M188" s="6" t="s">
        <v>10</v>
      </c>
      <c r="N188" s="6" t="s">
        <v>13</v>
      </c>
      <c r="O188" s="6" t="s">
        <v>37</v>
      </c>
      <c r="P188" s="6" t="s">
        <v>192</v>
      </c>
      <c r="Q188" s="6" t="s">
        <v>129</v>
      </c>
      <c r="R188" s="8">
        <v>0</v>
      </c>
      <c r="S188" s="8">
        <v>3.89</v>
      </c>
      <c r="T188" s="8">
        <v>15.61</v>
      </c>
      <c r="U188" s="8">
        <v>19.5</v>
      </c>
      <c r="V188" s="6" t="s">
        <v>1026</v>
      </c>
      <c r="W188" s="6" t="s">
        <v>110</v>
      </c>
    </row>
    <row r="189" spans="1:23">
      <c r="A189" s="6">
        <v>186</v>
      </c>
      <c r="B189" s="7" t="s">
        <v>1027</v>
      </c>
      <c r="C189" s="7" t="s">
        <v>121</v>
      </c>
      <c r="D189" s="6" t="s">
        <v>36</v>
      </c>
      <c r="E189" s="6" t="s">
        <v>1028</v>
      </c>
      <c r="F189" s="6" t="s">
        <v>70</v>
      </c>
      <c r="G189" s="6" t="s">
        <v>1029</v>
      </c>
      <c r="H189" s="7" t="s">
        <v>1030</v>
      </c>
      <c r="I189" s="6" t="s">
        <v>73</v>
      </c>
      <c r="J189" s="6" t="s">
        <v>125</v>
      </c>
      <c r="K189" s="6">
        <v>40</v>
      </c>
      <c r="L189" s="6" t="s">
        <v>75</v>
      </c>
      <c r="M189" s="6" t="s">
        <v>8</v>
      </c>
      <c r="N189" s="6" t="s">
        <v>9</v>
      </c>
      <c r="O189" s="6" t="s">
        <v>21</v>
      </c>
      <c r="P189" s="6" t="s">
        <v>172</v>
      </c>
      <c r="Q189" s="6" t="s">
        <v>225</v>
      </c>
      <c r="R189" s="8">
        <v>13.7</v>
      </c>
      <c r="S189" s="8">
        <v>476.28</v>
      </c>
      <c r="T189" s="8">
        <v>0</v>
      </c>
      <c r="U189" s="8">
        <v>476.28</v>
      </c>
      <c r="V189" s="6" t="s">
        <v>121</v>
      </c>
      <c r="W189" s="6" t="s">
        <v>91</v>
      </c>
    </row>
    <row r="190" spans="1:23">
      <c r="A190" s="6">
        <v>187</v>
      </c>
      <c r="B190" s="7" t="s">
        <v>1031</v>
      </c>
      <c r="C190" s="7" t="s">
        <v>121</v>
      </c>
      <c r="D190" s="6" t="s">
        <v>30</v>
      </c>
      <c r="E190" s="6" t="s">
        <v>1032</v>
      </c>
      <c r="F190" s="6" t="s">
        <v>345</v>
      </c>
      <c r="G190" s="6" t="s">
        <v>1033</v>
      </c>
      <c r="H190" s="7" t="s">
        <v>1034</v>
      </c>
      <c r="I190" s="6" t="s">
        <v>73</v>
      </c>
      <c r="J190" s="6" t="s">
        <v>74</v>
      </c>
      <c r="K190" s="6">
        <v>200</v>
      </c>
      <c r="L190" s="6" t="s">
        <v>138</v>
      </c>
      <c r="M190" s="6" t="s">
        <v>8</v>
      </c>
      <c r="N190" s="6" t="s">
        <v>13</v>
      </c>
      <c r="O190" s="6" t="s">
        <v>37</v>
      </c>
      <c r="P190" s="6" t="s">
        <v>178</v>
      </c>
      <c r="Q190" s="6" t="s">
        <v>179</v>
      </c>
      <c r="R190" s="8">
        <v>4.9000000000000004</v>
      </c>
      <c r="S190" s="8">
        <v>123.12</v>
      </c>
      <c r="T190" s="8">
        <v>0</v>
      </c>
      <c r="U190" s="8">
        <v>123.12</v>
      </c>
      <c r="V190" s="6" t="s">
        <v>121</v>
      </c>
      <c r="W190" s="6" t="s">
        <v>257</v>
      </c>
    </row>
    <row r="191" spans="1:23">
      <c r="A191" s="6">
        <v>188</v>
      </c>
      <c r="B191" s="7" t="s">
        <v>1035</v>
      </c>
      <c r="C191" s="7" t="s">
        <v>785</v>
      </c>
      <c r="D191" s="6" t="s">
        <v>20</v>
      </c>
      <c r="E191" s="6" t="s">
        <v>1036</v>
      </c>
      <c r="F191" s="6" t="s">
        <v>83</v>
      </c>
      <c r="G191" s="6" t="s">
        <v>1037</v>
      </c>
      <c r="H191" s="7" t="s">
        <v>1038</v>
      </c>
      <c r="I191" s="6" t="s">
        <v>137</v>
      </c>
      <c r="J191" s="6" t="s">
        <v>74</v>
      </c>
      <c r="K191" s="6">
        <v>200</v>
      </c>
      <c r="L191" s="6" t="s">
        <v>126</v>
      </c>
      <c r="M191" s="6" t="s">
        <v>8</v>
      </c>
      <c r="N191" s="6" t="s">
        <v>15</v>
      </c>
      <c r="O191" s="6" t="s">
        <v>156</v>
      </c>
      <c r="P191" s="6" t="s">
        <v>117</v>
      </c>
      <c r="Q191" s="6" t="s">
        <v>158</v>
      </c>
      <c r="R191" s="8">
        <v>0</v>
      </c>
      <c r="S191" s="8">
        <v>0.22</v>
      </c>
      <c r="T191" s="8">
        <v>0</v>
      </c>
      <c r="U191" s="8">
        <v>0.22</v>
      </c>
      <c r="V191" s="6" t="s">
        <v>121</v>
      </c>
      <c r="W191" s="6" t="s">
        <v>460</v>
      </c>
    </row>
    <row r="192" spans="1:23">
      <c r="A192" s="6">
        <v>189</v>
      </c>
      <c r="B192" s="7" t="s">
        <v>1039</v>
      </c>
      <c r="C192" s="7" t="s">
        <v>1040</v>
      </c>
      <c r="D192" s="6" t="s">
        <v>34</v>
      </c>
      <c r="E192" s="6" t="s">
        <v>1041</v>
      </c>
      <c r="F192" s="6" t="s">
        <v>83</v>
      </c>
      <c r="G192" s="6" t="s">
        <v>734</v>
      </c>
      <c r="H192" s="7" t="s">
        <v>1042</v>
      </c>
      <c r="I192" s="6" t="s">
        <v>86</v>
      </c>
      <c r="J192" s="6" t="s">
        <v>74</v>
      </c>
      <c r="K192" s="6">
        <v>200</v>
      </c>
      <c r="L192" s="6" t="s">
        <v>199</v>
      </c>
      <c r="M192" s="6" t="s">
        <v>8</v>
      </c>
      <c r="N192" s="6" t="s">
        <v>15</v>
      </c>
      <c r="O192" s="6" t="s">
        <v>127</v>
      </c>
      <c r="P192" s="6" t="s">
        <v>248</v>
      </c>
      <c r="Q192" s="6" t="s">
        <v>249</v>
      </c>
      <c r="R192" s="8">
        <v>20.7</v>
      </c>
      <c r="S192" s="8">
        <v>361.66</v>
      </c>
      <c r="T192" s="8">
        <v>0</v>
      </c>
      <c r="U192" s="8">
        <v>361.66</v>
      </c>
      <c r="V192" s="6" t="s">
        <v>121</v>
      </c>
      <c r="W192" s="6" t="s">
        <v>151</v>
      </c>
    </row>
    <row r="193" spans="1:23">
      <c r="A193" s="6">
        <v>190</v>
      </c>
      <c r="B193" s="7" t="s">
        <v>1043</v>
      </c>
      <c r="C193" s="7" t="s">
        <v>1044</v>
      </c>
      <c r="D193" s="6" t="s">
        <v>22</v>
      </c>
      <c r="E193" s="6" t="s">
        <v>1045</v>
      </c>
      <c r="F193" s="6" t="s">
        <v>83</v>
      </c>
      <c r="G193" s="6" t="s">
        <v>944</v>
      </c>
      <c r="H193" s="7" t="s">
        <v>1046</v>
      </c>
      <c r="I193" s="6" t="s">
        <v>73</v>
      </c>
      <c r="J193" s="6" t="s">
        <v>125</v>
      </c>
      <c r="K193" s="6">
        <v>6</v>
      </c>
      <c r="L193" s="6" t="s">
        <v>107</v>
      </c>
      <c r="M193" s="6" t="s">
        <v>14</v>
      </c>
      <c r="N193" s="6" t="s">
        <v>9</v>
      </c>
      <c r="O193" s="6" t="s">
        <v>27</v>
      </c>
      <c r="P193" s="6" t="s">
        <v>172</v>
      </c>
      <c r="Q193" s="6" t="s">
        <v>225</v>
      </c>
      <c r="R193" s="8">
        <v>0.7</v>
      </c>
      <c r="S193" s="8">
        <v>33.14</v>
      </c>
      <c r="T193" s="8">
        <v>0</v>
      </c>
      <c r="U193" s="8">
        <v>33.14</v>
      </c>
      <c r="V193" s="6" t="s">
        <v>121</v>
      </c>
      <c r="W193" s="6" t="s">
        <v>391</v>
      </c>
    </row>
    <row r="194" spans="1:23">
      <c r="A194" s="6">
        <v>191</v>
      </c>
      <c r="B194" s="7" t="s">
        <v>1047</v>
      </c>
      <c r="C194" s="7" t="s">
        <v>121</v>
      </c>
      <c r="D194" s="6" t="s">
        <v>40</v>
      </c>
      <c r="E194" s="6" t="s">
        <v>1048</v>
      </c>
      <c r="F194" s="6" t="s">
        <v>70</v>
      </c>
      <c r="G194" s="6" t="s">
        <v>1049</v>
      </c>
      <c r="H194" s="7" t="s">
        <v>1050</v>
      </c>
      <c r="I194" s="6" t="s">
        <v>86</v>
      </c>
      <c r="J194" s="6" t="s">
        <v>74</v>
      </c>
      <c r="K194" s="6">
        <v>200</v>
      </c>
      <c r="L194" s="6" t="s">
        <v>126</v>
      </c>
      <c r="M194" s="6" t="s">
        <v>17</v>
      </c>
      <c r="N194" s="6" t="s">
        <v>11</v>
      </c>
      <c r="O194" s="6" t="s">
        <v>33</v>
      </c>
      <c r="P194" s="6" t="s">
        <v>277</v>
      </c>
      <c r="Q194" s="6" t="s">
        <v>149</v>
      </c>
      <c r="R194" s="8">
        <v>21.2</v>
      </c>
      <c r="S194" s="8">
        <v>415.07</v>
      </c>
      <c r="T194" s="8">
        <v>29.92</v>
      </c>
      <c r="U194" s="8">
        <v>444.99</v>
      </c>
      <c r="V194" s="6" t="s">
        <v>388</v>
      </c>
      <c r="W194" s="6" t="s">
        <v>420</v>
      </c>
    </row>
    <row r="195" spans="1:23">
      <c r="A195" s="6">
        <v>192</v>
      </c>
      <c r="B195" s="7" t="s">
        <v>1051</v>
      </c>
      <c r="C195" s="7" t="s">
        <v>121</v>
      </c>
      <c r="D195" s="6" t="s">
        <v>22</v>
      </c>
      <c r="E195" s="6" t="s">
        <v>1052</v>
      </c>
      <c r="F195" s="6" t="s">
        <v>70</v>
      </c>
      <c r="G195" s="6" t="s">
        <v>1053</v>
      </c>
      <c r="H195" s="7" t="s">
        <v>1054</v>
      </c>
      <c r="I195" s="6" t="s">
        <v>86</v>
      </c>
      <c r="J195" s="6" t="s">
        <v>125</v>
      </c>
      <c r="K195" s="6">
        <v>6</v>
      </c>
      <c r="L195" s="6" t="s">
        <v>107</v>
      </c>
      <c r="M195" s="6" t="s">
        <v>12</v>
      </c>
      <c r="N195" s="6" t="s">
        <v>9</v>
      </c>
      <c r="O195" s="6" t="s">
        <v>33</v>
      </c>
      <c r="P195" s="6" t="s">
        <v>128</v>
      </c>
      <c r="Q195" s="6" t="s">
        <v>129</v>
      </c>
      <c r="R195" s="8">
        <v>11.7</v>
      </c>
      <c r="S195" s="8">
        <v>209.16</v>
      </c>
      <c r="T195" s="8">
        <v>35.299999999999997</v>
      </c>
      <c r="U195" s="8">
        <v>244.46</v>
      </c>
      <c r="V195" s="6" t="s">
        <v>924</v>
      </c>
      <c r="W195" s="6" t="s">
        <v>348</v>
      </c>
    </row>
    <row r="196" spans="1:23">
      <c r="A196" s="6">
        <v>193</v>
      </c>
      <c r="B196" s="7" t="s">
        <v>1055</v>
      </c>
      <c r="C196" s="7" t="s">
        <v>121</v>
      </c>
      <c r="D196" s="6" t="s">
        <v>22</v>
      </c>
      <c r="E196" s="6" t="s">
        <v>1056</v>
      </c>
      <c r="F196" s="6" t="s">
        <v>70</v>
      </c>
      <c r="G196" s="6" t="s">
        <v>1057</v>
      </c>
      <c r="H196" s="7" t="s">
        <v>1058</v>
      </c>
      <c r="I196" s="6" t="s">
        <v>147</v>
      </c>
      <c r="J196" s="6" t="s">
        <v>74</v>
      </c>
      <c r="K196" s="6">
        <v>400</v>
      </c>
      <c r="L196" s="6" t="s">
        <v>241</v>
      </c>
      <c r="M196" s="6" t="s">
        <v>12</v>
      </c>
      <c r="N196" s="6" t="s">
        <v>15</v>
      </c>
      <c r="O196" s="6" t="s">
        <v>29</v>
      </c>
      <c r="P196" s="6" t="s">
        <v>192</v>
      </c>
      <c r="Q196" s="6" t="s">
        <v>158</v>
      </c>
      <c r="R196" s="8">
        <v>8.5</v>
      </c>
      <c r="S196" s="8">
        <v>221.96</v>
      </c>
      <c r="T196" s="8">
        <v>31.28</v>
      </c>
      <c r="U196" s="8">
        <v>253.24</v>
      </c>
      <c r="V196" s="6" t="s">
        <v>204</v>
      </c>
      <c r="W196" s="6" t="s">
        <v>165</v>
      </c>
    </row>
    <row r="197" spans="1:23">
      <c r="A197" s="6">
        <v>194</v>
      </c>
      <c r="B197" s="7" t="s">
        <v>1059</v>
      </c>
      <c r="C197" s="7" t="s">
        <v>121</v>
      </c>
      <c r="D197" s="6" t="s">
        <v>22</v>
      </c>
      <c r="E197" s="6" t="s">
        <v>1060</v>
      </c>
      <c r="F197" s="6" t="s">
        <v>70</v>
      </c>
      <c r="G197" s="6" t="s">
        <v>1061</v>
      </c>
      <c r="H197" s="7" t="s">
        <v>1062</v>
      </c>
      <c r="I197" s="6" t="s">
        <v>73</v>
      </c>
      <c r="J197" s="6" t="s">
        <v>125</v>
      </c>
      <c r="K197" s="6">
        <v>60</v>
      </c>
      <c r="L197" s="6" t="s">
        <v>199</v>
      </c>
      <c r="M197" s="6" t="s">
        <v>8</v>
      </c>
      <c r="N197" s="6" t="s">
        <v>9</v>
      </c>
      <c r="O197" s="6" t="s">
        <v>29</v>
      </c>
      <c r="P197" s="6" t="s">
        <v>117</v>
      </c>
      <c r="Q197" s="6" t="s">
        <v>426</v>
      </c>
      <c r="R197" s="8">
        <v>5.7</v>
      </c>
      <c r="S197" s="8">
        <v>241.36</v>
      </c>
      <c r="T197" s="8">
        <v>0</v>
      </c>
      <c r="U197" s="8">
        <v>241.36</v>
      </c>
      <c r="V197" s="6" t="s">
        <v>121</v>
      </c>
      <c r="W197" s="6" t="s">
        <v>119</v>
      </c>
    </row>
    <row r="198" spans="1:23">
      <c r="A198" s="6">
        <v>195</v>
      </c>
      <c r="B198" s="7" t="s">
        <v>1063</v>
      </c>
      <c r="C198" s="7" t="s">
        <v>1064</v>
      </c>
      <c r="D198" s="6" t="s">
        <v>30</v>
      </c>
      <c r="E198" s="6" t="s">
        <v>1065</v>
      </c>
      <c r="F198" s="6" t="s">
        <v>83</v>
      </c>
      <c r="G198" s="6" t="s">
        <v>1066</v>
      </c>
      <c r="H198" s="7" t="s">
        <v>1067</v>
      </c>
      <c r="I198" s="6" t="s">
        <v>73</v>
      </c>
      <c r="J198" s="6" t="s">
        <v>125</v>
      </c>
      <c r="K198" s="6">
        <v>60</v>
      </c>
      <c r="L198" s="6" t="s">
        <v>267</v>
      </c>
      <c r="M198" s="6" t="s">
        <v>8</v>
      </c>
      <c r="N198" s="6" t="s">
        <v>11</v>
      </c>
      <c r="O198" s="6" t="s">
        <v>31</v>
      </c>
      <c r="P198" s="6" t="s">
        <v>128</v>
      </c>
      <c r="Q198" s="6" t="s">
        <v>129</v>
      </c>
      <c r="R198" s="8">
        <v>6</v>
      </c>
      <c r="S198" s="8">
        <v>160.26</v>
      </c>
      <c r="T198" s="8">
        <v>0</v>
      </c>
      <c r="U198" s="8">
        <v>160.26</v>
      </c>
      <c r="V198" s="6" t="s">
        <v>121</v>
      </c>
      <c r="W198" s="6" t="s">
        <v>397</v>
      </c>
    </row>
    <row r="199" spans="1:23">
      <c r="A199" s="6">
        <v>196</v>
      </c>
      <c r="B199" s="7" t="s">
        <v>1068</v>
      </c>
      <c r="C199" s="7" t="s">
        <v>1069</v>
      </c>
      <c r="D199" s="6" t="s">
        <v>36</v>
      </c>
      <c r="E199" s="6" t="s">
        <v>1070</v>
      </c>
      <c r="F199" s="6" t="s">
        <v>83</v>
      </c>
      <c r="G199" s="6" t="s">
        <v>1071</v>
      </c>
      <c r="H199" s="7" t="s">
        <v>1072</v>
      </c>
      <c r="I199" s="6" t="s">
        <v>137</v>
      </c>
      <c r="J199" s="6" t="s">
        <v>125</v>
      </c>
      <c r="K199" s="6">
        <v>60</v>
      </c>
      <c r="L199" s="6" t="s">
        <v>199</v>
      </c>
      <c r="M199" s="6" t="s">
        <v>8</v>
      </c>
      <c r="N199" s="6" t="s">
        <v>13</v>
      </c>
      <c r="O199" s="6" t="s">
        <v>425</v>
      </c>
      <c r="P199" s="6" t="s">
        <v>433</v>
      </c>
      <c r="Q199" s="6" t="s">
        <v>434</v>
      </c>
      <c r="R199" s="8">
        <v>0</v>
      </c>
      <c r="S199" s="8">
        <v>3.92</v>
      </c>
      <c r="T199" s="8">
        <v>0</v>
      </c>
      <c r="U199" s="8">
        <v>3.92</v>
      </c>
      <c r="V199" s="6" t="s">
        <v>121</v>
      </c>
      <c r="W199" s="6" t="s">
        <v>263</v>
      </c>
    </row>
    <row r="200" spans="1:23">
      <c r="A200" s="6">
        <v>197</v>
      </c>
      <c r="B200" s="7" t="s">
        <v>1073</v>
      </c>
      <c r="C200" s="7" t="s">
        <v>121</v>
      </c>
      <c r="D200" s="6" t="s">
        <v>22</v>
      </c>
      <c r="E200" s="6" t="s">
        <v>1074</v>
      </c>
      <c r="F200" s="6" t="s">
        <v>70</v>
      </c>
      <c r="G200" s="6" t="s">
        <v>1075</v>
      </c>
      <c r="H200" s="7" t="s">
        <v>1076</v>
      </c>
      <c r="I200" s="6" t="s">
        <v>73</v>
      </c>
      <c r="J200" s="6" t="s">
        <v>74</v>
      </c>
      <c r="K200" s="6">
        <v>400</v>
      </c>
      <c r="L200" s="6" t="s">
        <v>107</v>
      </c>
      <c r="M200" s="6" t="s">
        <v>8</v>
      </c>
      <c r="N200" s="6" t="s">
        <v>9</v>
      </c>
      <c r="O200" s="6" t="s">
        <v>27</v>
      </c>
      <c r="P200" s="6" t="s">
        <v>185</v>
      </c>
      <c r="Q200" s="6" t="s">
        <v>186</v>
      </c>
      <c r="R200" s="8">
        <v>8.1999999999999993</v>
      </c>
      <c r="S200" s="8">
        <v>148.13999999999999</v>
      </c>
      <c r="T200" s="8">
        <v>0</v>
      </c>
      <c r="U200" s="8">
        <v>148.13999999999999</v>
      </c>
      <c r="V200" s="6" t="s">
        <v>121</v>
      </c>
      <c r="W200" s="6" t="s">
        <v>391</v>
      </c>
    </row>
    <row r="201" spans="1:23">
      <c r="A201" s="6">
        <v>198</v>
      </c>
      <c r="B201" s="7" t="s">
        <v>1077</v>
      </c>
      <c r="C201" s="7" t="s">
        <v>1078</v>
      </c>
      <c r="D201" s="6" t="s">
        <v>36</v>
      </c>
      <c r="E201" s="6" t="s">
        <v>1079</v>
      </c>
      <c r="F201" s="6" t="s">
        <v>83</v>
      </c>
      <c r="G201" s="6" t="s">
        <v>1080</v>
      </c>
      <c r="H201" s="7" t="s">
        <v>1081</v>
      </c>
      <c r="I201" s="6" t="s">
        <v>147</v>
      </c>
      <c r="J201" s="6" t="s">
        <v>74</v>
      </c>
      <c r="K201" s="6">
        <v>200</v>
      </c>
      <c r="L201" s="6" t="s">
        <v>116</v>
      </c>
      <c r="M201" s="6" t="s">
        <v>8</v>
      </c>
      <c r="N201" s="6" t="s">
        <v>9</v>
      </c>
      <c r="O201" s="6" t="s">
        <v>23</v>
      </c>
      <c r="P201" s="6" t="s">
        <v>248</v>
      </c>
      <c r="Q201" s="6" t="s">
        <v>249</v>
      </c>
      <c r="R201" s="8">
        <v>7.3</v>
      </c>
      <c r="S201" s="8">
        <v>97.94</v>
      </c>
      <c r="T201" s="8">
        <v>0</v>
      </c>
      <c r="U201" s="8">
        <v>97.94</v>
      </c>
      <c r="V201" s="6" t="s">
        <v>121</v>
      </c>
      <c r="W201" s="6" t="s">
        <v>165</v>
      </c>
    </row>
    <row r="202" spans="1:23">
      <c r="A202" s="6">
        <v>199</v>
      </c>
      <c r="B202" s="7" t="s">
        <v>1082</v>
      </c>
      <c r="C202" s="7" t="s">
        <v>1083</v>
      </c>
      <c r="D202" s="6" t="s">
        <v>28</v>
      </c>
      <c r="E202" s="6" t="s">
        <v>1084</v>
      </c>
      <c r="F202" s="6" t="s">
        <v>83</v>
      </c>
      <c r="G202" s="6" t="s">
        <v>1085</v>
      </c>
      <c r="H202" s="7" t="s">
        <v>1086</v>
      </c>
      <c r="I202" s="6" t="s">
        <v>73</v>
      </c>
      <c r="J202" s="6" t="s">
        <v>74</v>
      </c>
      <c r="K202" s="6">
        <v>200</v>
      </c>
      <c r="L202" s="6" t="s">
        <v>171</v>
      </c>
      <c r="M202" s="6" t="s">
        <v>8</v>
      </c>
      <c r="N202" s="6" t="s">
        <v>9</v>
      </c>
      <c r="O202" s="6" t="s">
        <v>33</v>
      </c>
      <c r="P202" s="6" t="s">
        <v>76</v>
      </c>
      <c r="Q202" s="6" t="s">
        <v>149</v>
      </c>
      <c r="R202" s="8">
        <v>3</v>
      </c>
      <c r="S202" s="8">
        <v>51.81</v>
      </c>
      <c r="T202" s="8">
        <v>0</v>
      </c>
      <c r="U202" s="8">
        <v>51.81</v>
      </c>
      <c r="V202" s="6" t="s">
        <v>121</v>
      </c>
      <c r="W202" s="6" t="s">
        <v>391</v>
      </c>
    </row>
    <row r="203" spans="1:23">
      <c r="A203" s="6">
        <v>200</v>
      </c>
      <c r="B203" s="7" t="s">
        <v>1087</v>
      </c>
      <c r="C203" s="7" t="s">
        <v>121</v>
      </c>
      <c r="D203" s="6" t="s">
        <v>20</v>
      </c>
      <c r="E203" s="6" t="s">
        <v>1088</v>
      </c>
      <c r="F203" s="6" t="s">
        <v>83</v>
      </c>
      <c r="G203" s="6" t="s">
        <v>1089</v>
      </c>
      <c r="H203" s="7" t="s">
        <v>1090</v>
      </c>
      <c r="I203" s="6" t="s">
        <v>73</v>
      </c>
      <c r="J203" s="6" t="s">
        <v>74</v>
      </c>
      <c r="K203" s="6">
        <v>600</v>
      </c>
      <c r="L203" s="6" t="s">
        <v>97</v>
      </c>
      <c r="M203" s="6" t="s">
        <v>8</v>
      </c>
      <c r="N203" s="6" t="s">
        <v>13</v>
      </c>
      <c r="O203" s="6" t="s">
        <v>425</v>
      </c>
      <c r="P203" s="6" t="s">
        <v>433</v>
      </c>
      <c r="Q203" s="6" t="s">
        <v>434</v>
      </c>
      <c r="R203" s="8">
        <v>4.7</v>
      </c>
      <c r="S203" s="8">
        <v>78.97</v>
      </c>
      <c r="T203" s="8">
        <v>0</v>
      </c>
      <c r="U203" s="8">
        <v>78.97</v>
      </c>
      <c r="V203" s="6" t="s">
        <v>121</v>
      </c>
      <c r="W203" s="6" t="s">
        <v>291</v>
      </c>
    </row>
    <row r="204" spans="1:23">
      <c r="A204" s="6">
        <v>201</v>
      </c>
      <c r="B204" s="7" t="s">
        <v>1091</v>
      </c>
      <c r="C204" s="7" t="s">
        <v>121</v>
      </c>
      <c r="D204" s="6" t="s">
        <v>32</v>
      </c>
      <c r="E204" s="6" t="s">
        <v>1092</v>
      </c>
      <c r="F204" s="6" t="s">
        <v>83</v>
      </c>
      <c r="G204" s="6" t="s">
        <v>1093</v>
      </c>
      <c r="H204" s="7" t="s">
        <v>1094</v>
      </c>
      <c r="I204" s="6" t="s">
        <v>86</v>
      </c>
      <c r="J204" s="6" t="s">
        <v>125</v>
      </c>
      <c r="K204" s="6">
        <v>60</v>
      </c>
      <c r="L204" s="6" t="s">
        <v>97</v>
      </c>
      <c r="M204" s="6" t="s">
        <v>10</v>
      </c>
      <c r="N204" s="6" t="s">
        <v>13</v>
      </c>
      <c r="O204" s="6" t="s">
        <v>39</v>
      </c>
      <c r="P204" s="6" t="s">
        <v>185</v>
      </c>
      <c r="Q204" s="6" t="s">
        <v>186</v>
      </c>
      <c r="R204" s="8">
        <v>0.7</v>
      </c>
      <c r="S204" s="8">
        <v>18.3</v>
      </c>
      <c r="T204" s="8">
        <v>42.93</v>
      </c>
      <c r="U204" s="8">
        <v>61.23</v>
      </c>
      <c r="V204" s="6" t="s">
        <v>1095</v>
      </c>
      <c r="W204" s="6" t="s">
        <v>420</v>
      </c>
    </row>
    <row r="205" spans="1:23">
      <c r="A205" s="6">
        <v>202</v>
      </c>
      <c r="B205" s="7" t="s">
        <v>1096</v>
      </c>
      <c r="C205" s="7" t="s">
        <v>121</v>
      </c>
      <c r="D205" s="6" t="s">
        <v>22</v>
      </c>
      <c r="E205" s="6" t="s">
        <v>1097</v>
      </c>
      <c r="F205" s="6" t="s">
        <v>70</v>
      </c>
      <c r="G205" s="6" t="s">
        <v>1098</v>
      </c>
      <c r="H205" s="7" t="s">
        <v>1099</v>
      </c>
      <c r="I205" s="6" t="s">
        <v>137</v>
      </c>
      <c r="J205" s="6" t="s">
        <v>74</v>
      </c>
      <c r="K205" s="6">
        <v>600</v>
      </c>
      <c r="L205" s="6" t="s">
        <v>199</v>
      </c>
      <c r="M205" s="6" t="s">
        <v>10</v>
      </c>
      <c r="N205" s="6" t="s">
        <v>9</v>
      </c>
      <c r="O205" s="6" t="s">
        <v>33</v>
      </c>
      <c r="P205" s="6" t="s">
        <v>108</v>
      </c>
      <c r="Q205" s="6" t="s">
        <v>206</v>
      </c>
      <c r="R205" s="8">
        <v>0</v>
      </c>
      <c r="S205" s="8">
        <v>2.2999999999999998</v>
      </c>
      <c r="T205" s="8">
        <v>13.73</v>
      </c>
      <c r="U205" s="8">
        <v>16.03</v>
      </c>
      <c r="V205" s="6" t="s">
        <v>246</v>
      </c>
      <c r="W205" s="6" t="s">
        <v>397</v>
      </c>
    </row>
    <row r="206" spans="1:23">
      <c r="A206" s="6">
        <v>203</v>
      </c>
      <c r="B206" s="7" t="s">
        <v>1100</v>
      </c>
      <c r="C206" s="7" t="s">
        <v>121</v>
      </c>
      <c r="D206" s="6" t="s">
        <v>38</v>
      </c>
      <c r="E206" s="6" t="s">
        <v>1101</v>
      </c>
      <c r="F206" s="6" t="s">
        <v>345</v>
      </c>
      <c r="G206" s="6" t="s">
        <v>1102</v>
      </c>
      <c r="H206" s="7" t="s">
        <v>1103</v>
      </c>
      <c r="I206" s="6" t="s">
        <v>73</v>
      </c>
      <c r="J206" s="6" t="s">
        <v>74</v>
      </c>
      <c r="K206" s="6">
        <v>400</v>
      </c>
      <c r="L206" s="6" t="s">
        <v>107</v>
      </c>
      <c r="M206" s="6" t="s">
        <v>10</v>
      </c>
      <c r="N206" s="6" t="s">
        <v>9</v>
      </c>
      <c r="O206" s="6" t="s">
        <v>21</v>
      </c>
      <c r="P206" s="6" t="s">
        <v>117</v>
      </c>
      <c r="Q206" s="6" t="s">
        <v>426</v>
      </c>
      <c r="R206" s="8">
        <v>1.8</v>
      </c>
      <c r="S206" s="8">
        <v>68.53</v>
      </c>
      <c r="T206" s="8">
        <v>29.95</v>
      </c>
      <c r="U206" s="8">
        <v>98.48</v>
      </c>
      <c r="V206" s="6" t="s">
        <v>759</v>
      </c>
      <c r="W206" s="6" t="s">
        <v>251</v>
      </c>
    </row>
    <row r="207" spans="1:23">
      <c r="A207" s="6">
        <v>204</v>
      </c>
      <c r="B207" s="7" t="s">
        <v>1104</v>
      </c>
      <c r="C207" s="7" t="s">
        <v>1105</v>
      </c>
      <c r="D207" s="6" t="s">
        <v>34</v>
      </c>
      <c r="E207" s="6" t="s">
        <v>1106</v>
      </c>
      <c r="F207" s="6" t="s">
        <v>83</v>
      </c>
      <c r="G207" s="6" t="s">
        <v>1107</v>
      </c>
      <c r="H207" s="7" t="s">
        <v>1108</v>
      </c>
      <c r="I207" s="6" t="s">
        <v>73</v>
      </c>
      <c r="J207" s="6" t="s">
        <v>74</v>
      </c>
      <c r="K207" s="6">
        <v>400</v>
      </c>
      <c r="L207" s="6" t="s">
        <v>75</v>
      </c>
      <c r="M207" s="6" t="s">
        <v>17</v>
      </c>
      <c r="N207" s="6" t="s">
        <v>9</v>
      </c>
      <c r="O207" s="6" t="s">
        <v>23</v>
      </c>
      <c r="P207" s="6" t="s">
        <v>99</v>
      </c>
      <c r="Q207" s="6" t="s">
        <v>139</v>
      </c>
      <c r="R207" s="8">
        <v>20.7</v>
      </c>
      <c r="S207" s="8">
        <v>609.41</v>
      </c>
      <c r="T207" s="8">
        <v>9.7899999999999991</v>
      </c>
      <c r="U207" s="8">
        <v>619.20000000000005</v>
      </c>
      <c r="V207" s="6" t="s">
        <v>1109</v>
      </c>
      <c r="W207" s="6" t="s">
        <v>91</v>
      </c>
    </row>
    <row r="208" spans="1:23">
      <c r="A208" s="6">
        <v>205</v>
      </c>
      <c r="B208" s="7" t="s">
        <v>1110</v>
      </c>
      <c r="C208" s="7" t="s">
        <v>121</v>
      </c>
      <c r="D208" s="6" t="s">
        <v>20</v>
      </c>
      <c r="E208" s="6" t="s">
        <v>1111</v>
      </c>
      <c r="F208" s="6" t="s">
        <v>83</v>
      </c>
      <c r="G208" s="6" t="s">
        <v>1112</v>
      </c>
      <c r="H208" s="7" t="s">
        <v>1113</v>
      </c>
      <c r="I208" s="6" t="s">
        <v>137</v>
      </c>
      <c r="J208" s="6" t="s">
        <v>125</v>
      </c>
      <c r="K208" s="6">
        <v>6</v>
      </c>
      <c r="L208" s="6" t="s">
        <v>126</v>
      </c>
      <c r="M208" s="6" t="s">
        <v>12</v>
      </c>
      <c r="N208" s="6" t="s">
        <v>13</v>
      </c>
      <c r="O208" s="6" t="s">
        <v>35</v>
      </c>
      <c r="P208" s="6" t="s">
        <v>277</v>
      </c>
      <c r="Q208" s="6" t="s">
        <v>149</v>
      </c>
      <c r="R208" s="8">
        <v>0</v>
      </c>
      <c r="S208" s="8">
        <v>0.5</v>
      </c>
      <c r="T208" s="8">
        <v>7.63</v>
      </c>
      <c r="U208" s="8">
        <v>8.1300000000000008</v>
      </c>
      <c r="V208" s="6" t="s">
        <v>1114</v>
      </c>
      <c r="W208" s="6" t="s">
        <v>348</v>
      </c>
    </row>
    <row r="209" spans="1:23">
      <c r="A209" s="6">
        <v>206</v>
      </c>
      <c r="B209" s="7" t="s">
        <v>1115</v>
      </c>
      <c r="C209" s="7" t="s">
        <v>121</v>
      </c>
      <c r="D209" s="6" t="s">
        <v>28</v>
      </c>
      <c r="E209" s="6" t="s">
        <v>1116</v>
      </c>
      <c r="F209" s="6" t="s">
        <v>83</v>
      </c>
      <c r="G209" s="6" t="s">
        <v>1117</v>
      </c>
      <c r="H209" s="7" t="s">
        <v>1118</v>
      </c>
      <c r="I209" s="6" t="s">
        <v>86</v>
      </c>
      <c r="J209" s="6" t="s">
        <v>125</v>
      </c>
      <c r="K209" s="6">
        <v>40</v>
      </c>
      <c r="L209" s="6" t="s">
        <v>218</v>
      </c>
      <c r="M209" s="6" t="s">
        <v>8</v>
      </c>
      <c r="N209" s="6" t="s">
        <v>9</v>
      </c>
      <c r="O209" s="6" t="s">
        <v>25</v>
      </c>
      <c r="P209" s="6" t="s">
        <v>200</v>
      </c>
      <c r="Q209" s="6" t="s">
        <v>129</v>
      </c>
      <c r="R209" s="8">
        <v>5.6</v>
      </c>
      <c r="S209" s="8">
        <v>210.93</v>
      </c>
      <c r="T209" s="8">
        <v>0</v>
      </c>
      <c r="U209" s="8">
        <v>210.93</v>
      </c>
      <c r="V209" s="6" t="s">
        <v>121</v>
      </c>
      <c r="W209" s="6" t="s">
        <v>420</v>
      </c>
    </row>
    <row r="210" spans="1:23">
      <c r="A210" s="6">
        <v>207</v>
      </c>
      <c r="B210" s="7" t="s">
        <v>1119</v>
      </c>
      <c r="C210" s="7" t="s">
        <v>1120</v>
      </c>
      <c r="D210" s="6" t="s">
        <v>32</v>
      </c>
      <c r="E210" s="6" t="s">
        <v>1121</v>
      </c>
      <c r="F210" s="6" t="s">
        <v>83</v>
      </c>
      <c r="G210" s="6" t="s">
        <v>1122</v>
      </c>
      <c r="H210" s="7" t="s">
        <v>1123</v>
      </c>
      <c r="I210" s="6" t="s">
        <v>73</v>
      </c>
      <c r="J210" s="6" t="s">
        <v>74</v>
      </c>
      <c r="K210" s="6">
        <v>600</v>
      </c>
      <c r="L210" s="6" t="s">
        <v>138</v>
      </c>
      <c r="M210" s="6" t="s">
        <v>14</v>
      </c>
      <c r="N210" s="6" t="s">
        <v>13</v>
      </c>
      <c r="O210" s="6" t="s">
        <v>39</v>
      </c>
      <c r="P210" s="6" t="s">
        <v>117</v>
      </c>
      <c r="Q210" s="6" t="s">
        <v>158</v>
      </c>
      <c r="R210" s="8">
        <v>1</v>
      </c>
      <c r="S210" s="8">
        <v>28.41</v>
      </c>
      <c r="T210" s="8">
        <v>0</v>
      </c>
      <c r="U210" s="8">
        <v>28.41</v>
      </c>
      <c r="V210" s="6" t="s">
        <v>121</v>
      </c>
      <c r="W210" s="6" t="s">
        <v>151</v>
      </c>
    </row>
    <row r="211" spans="1:23">
      <c r="A211" s="6">
        <v>208</v>
      </c>
      <c r="B211" s="7" t="s">
        <v>1124</v>
      </c>
      <c r="C211" s="7" t="s">
        <v>1125</v>
      </c>
      <c r="D211" s="6" t="s">
        <v>26</v>
      </c>
      <c r="E211" s="6" t="s">
        <v>1126</v>
      </c>
      <c r="F211" s="6" t="s">
        <v>83</v>
      </c>
      <c r="G211" s="6" t="s">
        <v>709</v>
      </c>
      <c r="H211" s="7" t="s">
        <v>1127</v>
      </c>
      <c r="I211" s="6" t="s">
        <v>86</v>
      </c>
      <c r="J211" s="6" t="s">
        <v>74</v>
      </c>
      <c r="K211" s="6">
        <v>600</v>
      </c>
      <c r="L211" s="6" t="s">
        <v>107</v>
      </c>
      <c r="M211" s="6" t="s">
        <v>12</v>
      </c>
      <c r="N211" s="6" t="s">
        <v>15</v>
      </c>
      <c r="O211" s="6" t="s">
        <v>127</v>
      </c>
      <c r="P211" s="6" t="s">
        <v>148</v>
      </c>
      <c r="Q211" s="6" t="s">
        <v>149</v>
      </c>
      <c r="R211" s="8">
        <v>1</v>
      </c>
      <c r="S211" s="8">
        <v>19.329999999999998</v>
      </c>
      <c r="T211" s="8">
        <v>15.57</v>
      </c>
      <c r="U211" s="8">
        <v>34.9</v>
      </c>
      <c r="V211" s="6" t="s">
        <v>711</v>
      </c>
      <c r="W211" s="6" t="s">
        <v>131</v>
      </c>
    </row>
    <row r="212" spans="1:23">
      <c r="A212" s="6">
        <v>209</v>
      </c>
      <c r="B212" s="7" t="s">
        <v>1128</v>
      </c>
      <c r="C212" s="7" t="s">
        <v>121</v>
      </c>
      <c r="D212" s="6" t="s">
        <v>24</v>
      </c>
      <c r="E212" s="6" t="s">
        <v>1129</v>
      </c>
      <c r="F212" s="6" t="s">
        <v>70</v>
      </c>
      <c r="G212" s="6" t="s">
        <v>204</v>
      </c>
      <c r="H212" s="7" t="s">
        <v>1130</v>
      </c>
      <c r="I212" s="6" t="s">
        <v>73</v>
      </c>
      <c r="J212" s="6" t="s">
        <v>74</v>
      </c>
      <c r="K212" s="6">
        <v>400</v>
      </c>
      <c r="L212" s="6" t="s">
        <v>163</v>
      </c>
      <c r="M212" s="6" t="s">
        <v>8</v>
      </c>
      <c r="N212" s="6" t="s">
        <v>11</v>
      </c>
      <c r="O212" s="6" t="s">
        <v>33</v>
      </c>
      <c r="P212" s="6" t="s">
        <v>99</v>
      </c>
      <c r="Q212" s="6" t="s">
        <v>139</v>
      </c>
      <c r="R212" s="8">
        <v>0.5</v>
      </c>
      <c r="S212" s="8">
        <v>9.9</v>
      </c>
      <c r="T212" s="8">
        <v>0</v>
      </c>
      <c r="U212" s="8">
        <v>9.9</v>
      </c>
      <c r="V212" s="6" t="s">
        <v>121</v>
      </c>
      <c r="W212" s="6" t="s">
        <v>207</v>
      </c>
    </row>
    <row r="213" spans="1:23">
      <c r="A213" s="6">
        <v>210</v>
      </c>
      <c r="B213" s="7" t="s">
        <v>1131</v>
      </c>
      <c r="C213" s="7" t="s">
        <v>121</v>
      </c>
      <c r="D213" s="6" t="s">
        <v>26</v>
      </c>
      <c r="E213" s="6" t="s">
        <v>1132</v>
      </c>
      <c r="F213" s="6" t="s">
        <v>70</v>
      </c>
      <c r="G213" s="6" t="s">
        <v>1133</v>
      </c>
      <c r="H213" s="7" t="s">
        <v>1134</v>
      </c>
      <c r="I213" s="6" t="s">
        <v>137</v>
      </c>
      <c r="J213" s="6" t="s">
        <v>74</v>
      </c>
      <c r="K213" s="6">
        <v>400</v>
      </c>
      <c r="L213" s="6" t="s">
        <v>116</v>
      </c>
      <c r="M213" s="6" t="s">
        <v>14</v>
      </c>
      <c r="N213" s="6" t="s">
        <v>15</v>
      </c>
      <c r="O213" s="6" t="s">
        <v>29</v>
      </c>
      <c r="P213" s="6" t="s">
        <v>172</v>
      </c>
      <c r="Q213" s="6" t="s">
        <v>225</v>
      </c>
      <c r="R213" s="8">
        <v>0</v>
      </c>
      <c r="S213" s="8">
        <v>2.68</v>
      </c>
      <c r="T213" s="8">
        <v>0</v>
      </c>
      <c r="U213" s="8">
        <v>2.68</v>
      </c>
      <c r="V213" s="6" t="s">
        <v>121</v>
      </c>
      <c r="W213" s="6" t="s">
        <v>257</v>
      </c>
    </row>
    <row r="214" spans="1:23">
      <c r="A214" s="6">
        <v>211</v>
      </c>
      <c r="B214" s="7" t="s">
        <v>1135</v>
      </c>
      <c r="C214" s="7" t="s">
        <v>1136</v>
      </c>
      <c r="D214" s="6" t="s">
        <v>28</v>
      </c>
      <c r="E214" s="6" t="s">
        <v>1137</v>
      </c>
      <c r="F214" s="6" t="s">
        <v>83</v>
      </c>
      <c r="G214" s="6" t="s">
        <v>1138</v>
      </c>
      <c r="H214" s="7" t="s">
        <v>1139</v>
      </c>
      <c r="I214" s="6" t="s">
        <v>86</v>
      </c>
      <c r="J214" s="6" t="s">
        <v>125</v>
      </c>
      <c r="K214" s="6">
        <v>40</v>
      </c>
      <c r="L214" s="6" t="s">
        <v>218</v>
      </c>
      <c r="M214" s="6" t="s">
        <v>10</v>
      </c>
      <c r="N214" s="6" t="s">
        <v>15</v>
      </c>
      <c r="O214" s="6" t="s">
        <v>156</v>
      </c>
      <c r="P214" s="6" t="s">
        <v>172</v>
      </c>
      <c r="Q214" s="6" t="s">
        <v>225</v>
      </c>
      <c r="R214" s="8">
        <v>2.9</v>
      </c>
      <c r="S214" s="8">
        <v>123.13</v>
      </c>
      <c r="T214" s="8">
        <v>33.72</v>
      </c>
      <c r="U214" s="8">
        <v>156.85</v>
      </c>
      <c r="V214" s="6" t="s">
        <v>1140</v>
      </c>
      <c r="W214" s="6" t="s">
        <v>219</v>
      </c>
    </row>
    <row r="215" spans="1:23">
      <c r="A215" s="6">
        <v>212</v>
      </c>
      <c r="B215" s="7" t="s">
        <v>1141</v>
      </c>
      <c r="C215" s="7" t="s">
        <v>121</v>
      </c>
      <c r="D215" s="6" t="s">
        <v>30</v>
      </c>
      <c r="E215" s="6" t="s">
        <v>1142</v>
      </c>
      <c r="F215" s="6" t="s">
        <v>83</v>
      </c>
      <c r="G215" s="6" t="s">
        <v>1143</v>
      </c>
      <c r="H215" s="7" t="s">
        <v>1144</v>
      </c>
      <c r="I215" s="6" t="s">
        <v>73</v>
      </c>
      <c r="J215" s="6" t="s">
        <v>125</v>
      </c>
      <c r="K215" s="6">
        <v>40</v>
      </c>
      <c r="L215" s="6" t="s">
        <v>116</v>
      </c>
      <c r="M215" s="6" t="s">
        <v>8</v>
      </c>
      <c r="N215" s="6" t="s">
        <v>11</v>
      </c>
      <c r="O215" s="6" t="s">
        <v>33</v>
      </c>
      <c r="P215" s="6" t="s">
        <v>172</v>
      </c>
      <c r="Q215" s="6" t="s">
        <v>225</v>
      </c>
      <c r="R215" s="8">
        <v>11.6</v>
      </c>
      <c r="S215" s="8">
        <v>265.93</v>
      </c>
      <c r="T215" s="8">
        <v>0</v>
      </c>
      <c r="U215" s="8">
        <v>265.93</v>
      </c>
      <c r="V215" s="6" t="s">
        <v>121</v>
      </c>
      <c r="W215" s="6" t="s">
        <v>604</v>
      </c>
    </row>
    <row r="216" spans="1:23">
      <c r="A216" s="6">
        <v>213</v>
      </c>
      <c r="B216" s="7" t="s">
        <v>1145</v>
      </c>
      <c r="C216" s="7" t="s">
        <v>121</v>
      </c>
      <c r="D216" s="6" t="s">
        <v>28</v>
      </c>
      <c r="E216" s="6" t="s">
        <v>1146</v>
      </c>
      <c r="F216" s="6" t="s">
        <v>345</v>
      </c>
      <c r="G216" s="6" t="s">
        <v>187</v>
      </c>
      <c r="H216" s="7" t="s">
        <v>1147</v>
      </c>
      <c r="I216" s="6" t="s">
        <v>73</v>
      </c>
      <c r="J216" s="6" t="s">
        <v>74</v>
      </c>
      <c r="K216" s="6">
        <v>600</v>
      </c>
      <c r="L216" s="6" t="s">
        <v>97</v>
      </c>
      <c r="M216" s="6" t="s">
        <v>10</v>
      </c>
      <c r="N216" s="6" t="s">
        <v>9</v>
      </c>
      <c r="O216" s="6" t="s">
        <v>23</v>
      </c>
      <c r="P216" s="6" t="s">
        <v>192</v>
      </c>
      <c r="Q216" s="6" t="s">
        <v>158</v>
      </c>
      <c r="R216" s="8">
        <v>5.3</v>
      </c>
      <c r="S216" s="8">
        <v>97.34</v>
      </c>
      <c r="T216" s="8">
        <v>34.85</v>
      </c>
      <c r="U216" s="8">
        <v>132.19</v>
      </c>
      <c r="V216" s="6" t="s">
        <v>1148</v>
      </c>
      <c r="W216" s="6" t="s">
        <v>165</v>
      </c>
    </row>
    <row r="217" spans="1:23">
      <c r="A217" s="6">
        <v>214</v>
      </c>
      <c r="B217" s="7" t="s">
        <v>1149</v>
      </c>
      <c r="C217" s="7" t="s">
        <v>121</v>
      </c>
      <c r="D217" s="6" t="s">
        <v>32</v>
      </c>
      <c r="E217" s="6" t="s">
        <v>1150</v>
      </c>
      <c r="F217" s="6" t="s">
        <v>345</v>
      </c>
      <c r="G217" s="6" t="s">
        <v>1151</v>
      </c>
      <c r="H217" s="7" t="s">
        <v>1152</v>
      </c>
      <c r="I217" s="6" t="s">
        <v>137</v>
      </c>
      <c r="J217" s="6" t="s">
        <v>125</v>
      </c>
      <c r="K217" s="6">
        <v>6</v>
      </c>
      <c r="L217" s="6" t="s">
        <v>241</v>
      </c>
      <c r="M217" s="6" t="s">
        <v>10</v>
      </c>
      <c r="N217" s="6" t="s">
        <v>13</v>
      </c>
      <c r="O217" s="6" t="s">
        <v>425</v>
      </c>
      <c r="P217" s="6" t="s">
        <v>433</v>
      </c>
      <c r="Q217" s="6" t="s">
        <v>434</v>
      </c>
      <c r="R217" s="8">
        <v>0</v>
      </c>
      <c r="S217" s="8">
        <v>4.28</v>
      </c>
      <c r="T217" s="8">
        <v>25.11</v>
      </c>
      <c r="U217" s="8">
        <v>29.39</v>
      </c>
      <c r="V217" s="6" t="s">
        <v>1153</v>
      </c>
      <c r="W217" s="6" t="s">
        <v>110</v>
      </c>
    </row>
    <row r="218" spans="1:23">
      <c r="A218" s="6">
        <v>215</v>
      </c>
      <c r="B218" s="7" t="s">
        <v>1154</v>
      </c>
      <c r="C218" s="7" t="s">
        <v>1155</v>
      </c>
      <c r="D218" s="6" t="s">
        <v>22</v>
      </c>
      <c r="E218" s="6" t="s">
        <v>1156</v>
      </c>
      <c r="F218" s="6" t="s">
        <v>83</v>
      </c>
      <c r="G218" s="6" t="s">
        <v>1157</v>
      </c>
      <c r="H218" s="7" t="s">
        <v>1158</v>
      </c>
      <c r="I218" s="6" t="s">
        <v>137</v>
      </c>
      <c r="J218" s="6" t="s">
        <v>125</v>
      </c>
      <c r="K218" s="6">
        <v>60</v>
      </c>
      <c r="L218" s="6" t="s">
        <v>138</v>
      </c>
      <c r="M218" s="6" t="s">
        <v>10</v>
      </c>
      <c r="N218" s="6" t="s">
        <v>9</v>
      </c>
      <c r="O218" s="6" t="s">
        <v>33</v>
      </c>
      <c r="P218" s="6" t="s">
        <v>178</v>
      </c>
      <c r="Q218" s="6" t="s">
        <v>179</v>
      </c>
      <c r="R218" s="8">
        <v>0</v>
      </c>
      <c r="S218" s="8">
        <v>2.96</v>
      </c>
      <c r="T218" s="8">
        <v>15.74</v>
      </c>
      <c r="U218" s="8">
        <v>18.7</v>
      </c>
      <c r="V218" s="6" t="s">
        <v>961</v>
      </c>
      <c r="W218" s="6" t="s">
        <v>219</v>
      </c>
    </row>
    <row r="219" spans="1:23">
      <c r="A219" s="6">
        <v>216</v>
      </c>
      <c r="B219" s="7" t="s">
        <v>1159</v>
      </c>
      <c r="C219" s="7" t="s">
        <v>1160</v>
      </c>
      <c r="D219" s="6" t="s">
        <v>24</v>
      </c>
      <c r="E219" s="6" t="s">
        <v>1161</v>
      </c>
      <c r="F219" s="6" t="s">
        <v>83</v>
      </c>
      <c r="G219" s="6" t="s">
        <v>1162</v>
      </c>
      <c r="H219" s="7" t="s">
        <v>1163</v>
      </c>
      <c r="I219" s="6" t="s">
        <v>86</v>
      </c>
      <c r="J219" s="6" t="s">
        <v>125</v>
      </c>
      <c r="K219" s="6">
        <v>60</v>
      </c>
      <c r="L219" s="6" t="s">
        <v>126</v>
      </c>
      <c r="M219" s="6" t="s">
        <v>14</v>
      </c>
      <c r="N219" s="6" t="s">
        <v>13</v>
      </c>
      <c r="O219" s="6" t="s">
        <v>425</v>
      </c>
      <c r="P219" s="6" t="s">
        <v>433</v>
      </c>
      <c r="Q219" s="6" t="s">
        <v>434</v>
      </c>
      <c r="R219" s="8">
        <v>1.8</v>
      </c>
      <c r="S219" s="8">
        <v>64.349999999999994</v>
      </c>
      <c r="T219" s="8">
        <v>0</v>
      </c>
      <c r="U219" s="8">
        <v>64.349999999999994</v>
      </c>
      <c r="V219" s="6" t="s">
        <v>121</v>
      </c>
      <c r="W219" s="6" t="s">
        <v>604</v>
      </c>
    </row>
    <row r="220" spans="1:23">
      <c r="A220" s="6">
        <v>217</v>
      </c>
      <c r="B220" s="7" t="s">
        <v>1164</v>
      </c>
      <c r="C220" s="7" t="s">
        <v>1165</v>
      </c>
      <c r="D220" s="6" t="s">
        <v>26</v>
      </c>
      <c r="E220" s="6" t="s">
        <v>1166</v>
      </c>
      <c r="F220" s="6" t="s">
        <v>83</v>
      </c>
      <c r="G220" s="6" t="s">
        <v>1167</v>
      </c>
      <c r="H220" s="7" t="s">
        <v>1168</v>
      </c>
      <c r="I220" s="6" t="s">
        <v>73</v>
      </c>
      <c r="J220" s="6" t="s">
        <v>74</v>
      </c>
      <c r="K220" s="6">
        <v>600</v>
      </c>
      <c r="L220" s="6" t="s">
        <v>327</v>
      </c>
      <c r="M220" s="6" t="s">
        <v>8</v>
      </c>
      <c r="N220" s="6" t="s">
        <v>13</v>
      </c>
      <c r="O220" s="6" t="s">
        <v>425</v>
      </c>
      <c r="P220" s="6" t="s">
        <v>433</v>
      </c>
      <c r="Q220" s="6" t="s">
        <v>434</v>
      </c>
      <c r="R220" s="8">
        <v>1.9</v>
      </c>
      <c r="S220" s="8">
        <v>49.25</v>
      </c>
      <c r="T220" s="8">
        <v>0</v>
      </c>
      <c r="U220" s="8">
        <v>49.25</v>
      </c>
      <c r="V220" s="6" t="s">
        <v>121</v>
      </c>
      <c r="W220" s="6" t="s">
        <v>242</v>
      </c>
    </row>
    <row r="221" spans="1:23">
      <c r="A221" s="6">
        <v>218</v>
      </c>
      <c r="B221" s="7" t="s">
        <v>1169</v>
      </c>
      <c r="C221" s="7" t="s">
        <v>121</v>
      </c>
      <c r="D221" s="6" t="s">
        <v>32</v>
      </c>
      <c r="E221" s="6" t="s">
        <v>1170</v>
      </c>
      <c r="F221" s="6" t="s">
        <v>83</v>
      </c>
      <c r="G221" s="6" t="s">
        <v>1171</v>
      </c>
      <c r="H221" s="7" t="s">
        <v>1172</v>
      </c>
      <c r="I221" s="6" t="s">
        <v>73</v>
      </c>
      <c r="J221" s="6" t="s">
        <v>125</v>
      </c>
      <c r="K221" s="6">
        <v>40</v>
      </c>
      <c r="L221" s="6" t="s">
        <v>75</v>
      </c>
      <c r="M221" s="6" t="s">
        <v>12</v>
      </c>
      <c r="N221" s="6" t="s">
        <v>9</v>
      </c>
      <c r="O221" s="6" t="s">
        <v>25</v>
      </c>
      <c r="P221" s="6" t="s">
        <v>192</v>
      </c>
      <c r="Q221" s="6" t="s">
        <v>158</v>
      </c>
      <c r="R221" s="8">
        <v>11.1</v>
      </c>
      <c r="S221" s="8">
        <v>262.13</v>
      </c>
      <c r="T221" s="8">
        <v>13.07</v>
      </c>
      <c r="U221" s="8">
        <v>275.2</v>
      </c>
      <c r="V221" s="6" t="s">
        <v>516</v>
      </c>
      <c r="W221" s="6" t="s">
        <v>141</v>
      </c>
    </row>
    <row r="222" spans="1:23">
      <c r="A222" s="6">
        <v>219</v>
      </c>
      <c r="B222" s="7" t="s">
        <v>1173</v>
      </c>
      <c r="C222" s="7" t="s">
        <v>1174</v>
      </c>
      <c r="D222" s="6" t="s">
        <v>20</v>
      </c>
      <c r="E222" s="6" t="s">
        <v>1175</v>
      </c>
      <c r="F222" s="6" t="s">
        <v>83</v>
      </c>
      <c r="G222" s="6" t="s">
        <v>1102</v>
      </c>
      <c r="H222" s="7" t="s">
        <v>1176</v>
      </c>
      <c r="I222" s="6" t="s">
        <v>73</v>
      </c>
      <c r="J222" s="6" t="s">
        <v>125</v>
      </c>
      <c r="K222" s="6">
        <v>40</v>
      </c>
      <c r="L222" s="6" t="s">
        <v>163</v>
      </c>
      <c r="M222" s="6" t="s">
        <v>8</v>
      </c>
      <c r="N222" s="6" t="s">
        <v>11</v>
      </c>
      <c r="O222" s="6" t="s">
        <v>41</v>
      </c>
      <c r="P222" s="6" t="s">
        <v>192</v>
      </c>
      <c r="Q222" s="6" t="s">
        <v>158</v>
      </c>
      <c r="R222" s="8">
        <v>4.2</v>
      </c>
      <c r="S222" s="8">
        <v>193.09</v>
      </c>
      <c r="T222" s="8">
        <v>0</v>
      </c>
      <c r="U222" s="8">
        <v>193.09</v>
      </c>
      <c r="V222" s="6" t="s">
        <v>121</v>
      </c>
      <c r="W222" s="6" t="s">
        <v>251</v>
      </c>
    </row>
    <row r="223" spans="1:23">
      <c r="A223" s="6">
        <v>220</v>
      </c>
      <c r="B223" s="7" t="s">
        <v>1177</v>
      </c>
      <c r="C223" s="7" t="s">
        <v>121</v>
      </c>
      <c r="D223" s="6" t="s">
        <v>20</v>
      </c>
      <c r="E223" s="6" t="s">
        <v>1178</v>
      </c>
      <c r="F223" s="6" t="s">
        <v>70</v>
      </c>
      <c r="G223" s="6" t="s">
        <v>1179</v>
      </c>
      <c r="H223" s="7" t="s">
        <v>1180</v>
      </c>
      <c r="I223" s="6" t="s">
        <v>73</v>
      </c>
      <c r="J223" s="6" t="s">
        <v>74</v>
      </c>
      <c r="K223" s="6">
        <v>400</v>
      </c>
      <c r="L223" s="6" t="s">
        <v>126</v>
      </c>
      <c r="M223" s="6" t="s">
        <v>8</v>
      </c>
      <c r="N223" s="6" t="s">
        <v>11</v>
      </c>
      <c r="O223" s="6" t="s">
        <v>41</v>
      </c>
      <c r="P223" s="6" t="s">
        <v>108</v>
      </c>
      <c r="Q223" s="6" t="s">
        <v>206</v>
      </c>
      <c r="R223" s="8">
        <v>9.6</v>
      </c>
      <c r="S223" s="8">
        <v>295.3</v>
      </c>
      <c r="T223" s="8">
        <v>0</v>
      </c>
      <c r="U223" s="8">
        <v>295.3</v>
      </c>
      <c r="V223" s="6" t="s">
        <v>121</v>
      </c>
      <c r="W223" s="6" t="s">
        <v>101</v>
      </c>
    </row>
    <row r="224" spans="1:23">
      <c r="A224" s="6">
        <v>221</v>
      </c>
      <c r="B224" s="7" t="s">
        <v>1181</v>
      </c>
      <c r="C224" s="7" t="s">
        <v>1182</v>
      </c>
      <c r="D224" s="6" t="s">
        <v>24</v>
      </c>
      <c r="E224" s="6" t="s">
        <v>1183</v>
      </c>
      <c r="F224" s="6" t="s">
        <v>83</v>
      </c>
      <c r="G224" s="6" t="s">
        <v>1184</v>
      </c>
      <c r="H224" s="7" t="s">
        <v>1185</v>
      </c>
      <c r="I224" s="6" t="s">
        <v>73</v>
      </c>
      <c r="J224" s="6" t="s">
        <v>74</v>
      </c>
      <c r="K224" s="6">
        <v>400</v>
      </c>
      <c r="L224" s="6" t="s">
        <v>241</v>
      </c>
      <c r="M224" s="6" t="s">
        <v>12</v>
      </c>
      <c r="N224" s="6" t="s">
        <v>15</v>
      </c>
      <c r="O224" s="6" t="s">
        <v>29</v>
      </c>
      <c r="P224" s="6" t="s">
        <v>277</v>
      </c>
      <c r="Q224" s="6" t="s">
        <v>149</v>
      </c>
      <c r="R224" s="8">
        <v>9.1999999999999993</v>
      </c>
      <c r="S224" s="8">
        <v>121.06</v>
      </c>
      <c r="T224" s="8">
        <v>13.69</v>
      </c>
      <c r="U224" s="8">
        <v>134.75</v>
      </c>
      <c r="V224" s="6" t="s">
        <v>1186</v>
      </c>
      <c r="W224" s="6" t="s">
        <v>263</v>
      </c>
    </row>
    <row r="225" spans="1:23">
      <c r="A225" s="6">
        <v>222</v>
      </c>
      <c r="B225" s="7" t="s">
        <v>1187</v>
      </c>
      <c r="C225" s="7" t="s">
        <v>121</v>
      </c>
      <c r="D225" s="6" t="s">
        <v>22</v>
      </c>
      <c r="E225" s="6" t="s">
        <v>1188</v>
      </c>
      <c r="F225" s="6" t="s">
        <v>83</v>
      </c>
      <c r="G225" s="6" t="s">
        <v>261</v>
      </c>
      <c r="H225" s="7" t="s">
        <v>1189</v>
      </c>
      <c r="I225" s="6" t="s">
        <v>73</v>
      </c>
      <c r="J225" s="6" t="s">
        <v>125</v>
      </c>
      <c r="K225" s="6">
        <v>40</v>
      </c>
      <c r="L225" s="6" t="s">
        <v>107</v>
      </c>
      <c r="M225" s="6" t="s">
        <v>8</v>
      </c>
      <c r="N225" s="6" t="s">
        <v>9</v>
      </c>
      <c r="O225" s="6" t="s">
        <v>25</v>
      </c>
      <c r="P225" s="6" t="s">
        <v>178</v>
      </c>
      <c r="Q225" s="6" t="s">
        <v>179</v>
      </c>
      <c r="R225" s="8">
        <v>13.6</v>
      </c>
      <c r="S225" s="8">
        <v>417.52</v>
      </c>
      <c r="T225" s="8">
        <v>0</v>
      </c>
      <c r="U225" s="8">
        <v>417.52</v>
      </c>
      <c r="V225" s="6" t="s">
        <v>121</v>
      </c>
      <c r="W225" s="6" t="s">
        <v>263</v>
      </c>
    </row>
    <row r="226" spans="1:23">
      <c r="A226" s="6">
        <v>223</v>
      </c>
      <c r="B226" s="7" t="s">
        <v>1190</v>
      </c>
      <c r="C226" s="7" t="s">
        <v>121</v>
      </c>
      <c r="D226" s="6" t="s">
        <v>32</v>
      </c>
      <c r="E226" s="6" t="s">
        <v>1191</v>
      </c>
      <c r="F226" s="6" t="s">
        <v>83</v>
      </c>
      <c r="G226" s="6" t="s">
        <v>1192</v>
      </c>
      <c r="H226" s="7" t="s">
        <v>1193</v>
      </c>
      <c r="I226" s="6" t="s">
        <v>137</v>
      </c>
      <c r="J226" s="6" t="s">
        <v>125</v>
      </c>
      <c r="K226" s="6">
        <v>60</v>
      </c>
      <c r="L226" s="6" t="s">
        <v>138</v>
      </c>
      <c r="M226" s="6" t="s">
        <v>14</v>
      </c>
      <c r="N226" s="6" t="s">
        <v>11</v>
      </c>
      <c r="O226" s="6" t="s">
        <v>41</v>
      </c>
      <c r="P226" s="6" t="s">
        <v>192</v>
      </c>
      <c r="Q226" s="6" t="s">
        <v>289</v>
      </c>
      <c r="R226" s="8">
        <v>0</v>
      </c>
      <c r="S226" s="8">
        <v>4.8899999999999997</v>
      </c>
      <c r="T226" s="8">
        <v>0</v>
      </c>
      <c r="U226" s="8">
        <v>4.8899999999999997</v>
      </c>
      <c r="V226" s="6" t="s">
        <v>121</v>
      </c>
      <c r="W226" s="6" t="s">
        <v>219</v>
      </c>
    </row>
    <row r="227" spans="1:23">
      <c r="A227" s="6">
        <v>224</v>
      </c>
      <c r="B227" s="7" t="s">
        <v>1194</v>
      </c>
      <c r="C227" s="7" t="s">
        <v>1195</v>
      </c>
      <c r="D227" s="6" t="s">
        <v>28</v>
      </c>
      <c r="E227" s="6" t="s">
        <v>1196</v>
      </c>
      <c r="F227" s="6" t="s">
        <v>83</v>
      </c>
      <c r="G227" s="6" t="s">
        <v>1197</v>
      </c>
      <c r="H227" s="7" t="s">
        <v>1198</v>
      </c>
      <c r="I227" s="6" t="s">
        <v>147</v>
      </c>
      <c r="J227" s="6" t="s">
        <v>125</v>
      </c>
      <c r="K227" s="6">
        <v>60</v>
      </c>
      <c r="L227" s="6" t="s">
        <v>199</v>
      </c>
      <c r="M227" s="6" t="s">
        <v>12</v>
      </c>
      <c r="N227" s="6" t="s">
        <v>15</v>
      </c>
      <c r="O227" s="6" t="s">
        <v>127</v>
      </c>
      <c r="P227" s="6" t="s">
        <v>157</v>
      </c>
      <c r="Q227" s="6" t="s">
        <v>158</v>
      </c>
      <c r="R227" s="8">
        <v>3.9</v>
      </c>
      <c r="S227" s="8">
        <v>114.55</v>
      </c>
      <c r="T227" s="8">
        <v>4.6100000000000003</v>
      </c>
      <c r="U227" s="8">
        <v>119.16</v>
      </c>
      <c r="V227" s="6" t="s">
        <v>1199</v>
      </c>
      <c r="W227" s="6" t="s">
        <v>119</v>
      </c>
    </row>
    <row r="228" spans="1:23">
      <c r="A228" s="6">
        <v>225</v>
      </c>
      <c r="B228" s="7" t="s">
        <v>1200</v>
      </c>
      <c r="C228" s="7" t="s">
        <v>121</v>
      </c>
      <c r="D228" s="6" t="s">
        <v>24</v>
      </c>
      <c r="E228" s="6" t="s">
        <v>1201</v>
      </c>
      <c r="F228" s="6" t="s">
        <v>70</v>
      </c>
      <c r="G228" s="6" t="s">
        <v>1202</v>
      </c>
      <c r="H228" s="7" t="s">
        <v>1203</v>
      </c>
      <c r="I228" s="6" t="s">
        <v>137</v>
      </c>
      <c r="J228" s="6" t="s">
        <v>125</v>
      </c>
      <c r="K228" s="6">
        <v>40</v>
      </c>
      <c r="L228" s="6" t="s">
        <v>267</v>
      </c>
      <c r="M228" s="6" t="s">
        <v>10</v>
      </c>
      <c r="N228" s="6" t="s">
        <v>15</v>
      </c>
      <c r="O228" s="6" t="s">
        <v>156</v>
      </c>
      <c r="P228" s="6" t="s">
        <v>277</v>
      </c>
      <c r="Q228" s="6" t="s">
        <v>149</v>
      </c>
      <c r="R228" s="8">
        <v>0</v>
      </c>
      <c r="S228" s="8">
        <v>0.99</v>
      </c>
      <c r="T228" s="8">
        <v>23.09</v>
      </c>
      <c r="U228" s="8">
        <v>24.08</v>
      </c>
      <c r="V228" s="6" t="s">
        <v>1204</v>
      </c>
      <c r="W228" s="6" t="s">
        <v>444</v>
      </c>
    </row>
    <row r="229" spans="1:23">
      <c r="A229" s="6">
        <v>226</v>
      </c>
      <c r="B229" s="7" t="s">
        <v>1205</v>
      </c>
      <c r="C229" s="7" t="s">
        <v>121</v>
      </c>
      <c r="D229" s="6" t="s">
        <v>28</v>
      </c>
      <c r="E229" s="6" t="s">
        <v>1206</v>
      </c>
      <c r="F229" s="6" t="s">
        <v>83</v>
      </c>
      <c r="G229" s="6" t="s">
        <v>855</v>
      </c>
      <c r="H229" s="7" t="s">
        <v>1207</v>
      </c>
      <c r="I229" s="6" t="s">
        <v>86</v>
      </c>
      <c r="J229" s="6" t="s">
        <v>125</v>
      </c>
      <c r="K229" s="6">
        <v>40</v>
      </c>
      <c r="L229" s="6" t="s">
        <v>163</v>
      </c>
      <c r="M229" s="6" t="s">
        <v>8</v>
      </c>
      <c r="N229" s="6" t="s">
        <v>13</v>
      </c>
      <c r="O229" s="6" t="s">
        <v>39</v>
      </c>
      <c r="P229" s="6" t="s">
        <v>248</v>
      </c>
      <c r="Q229" s="6" t="s">
        <v>249</v>
      </c>
      <c r="R229" s="8">
        <v>7.8</v>
      </c>
      <c r="S229" s="8">
        <v>286.8</v>
      </c>
      <c r="T229" s="8">
        <v>0</v>
      </c>
      <c r="U229" s="8">
        <v>286.8</v>
      </c>
      <c r="V229" s="6" t="s">
        <v>121</v>
      </c>
      <c r="W229" s="6" t="s">
        <v>604</v>
      </c>
    </row>
    <row r="230" spans="1:23">
      <c r="A230" s="6">
        <v>227</v>
      </c>
      <c r="B230" s="7" t="s">
        <v>1208</v>
      </c>
      <c r="C230" s="7" t="s">
        <v>121</v>
      </c>
      <c r="D230" s="6" t="s">
        <v>24</v>
      </c>
      <c r="E230" s="6" t="s">
        <v>1209</v>
      </c>
      <c r="F230" s="6" t="s">
        <v>345</v>
      </c>
      <c r="G230" s="6" t="s">
        <v>1210</v>
      </c>
      <c r="H230" s="7" t="s">
        <v>1211</v>
      </c>
      <c r="I230" s="6" t="s">
        <v>73</v>
      </c>
      <c r="J230" s="6" t="s">
        <v>74</v>
      </c>
      <c r="K230" s="6">
        <v>200</v>
      </c>
      <c r="L230" s="6" t="s">
        <v>171</v>
      </c>
      <c r="M230" s="6" t="s">
        <v>10</v>
      </c>
      <c r="N230" s="6" t="s">
        <v>15</v>
      </c>
      <c r="O230" s="6" t="s">
        <v>127</v>
      </c>
      <c r="P230" s="6" t="s">
        <v>157</v>
      </c>
      <c r="Q230" s="6" t="s">
        <v>158</v>
      </c>
      <c r="R230" s="8">
        <v>14.6</v>
      </c>
      <c r="S230" s="8">
        <v>339.26</v>
      </c>
      <c r="T230" s="8">
        <v>48.12</v>
      </c>
      <c r="U230" s="8">
        <v>387.38</v>
      </c>
      <c r="V230" s="6" t="s">
        <v>275</v>
      </c>
      <c r="W230" s="6" t="s">
        <v>91</v>
      </c>
    </row>
    <row r="231" spans="1:23">
      <c r="A231" s="6">
        <v>228</v>
      </c>
      <c r="B231" s="7" t="s">
        <v>1212</v>
      </c>
      <c r="C231" s="7" t="s">
        <v>1213</v>
      </c>
      <c r="D231" s="6" t="s">
        <v>30</v>
      </c>
      <c r="E231" s="6" t="s">
        <v>1214</v>
      </c>
      <c r="F231" s="6" t="s">
        <v>83</v>
      </c>
      <c r="G231" s="6" t="s">
        <v>1215</v>
      </c>
      <c r="H231" s="7" t="s">
        <v>1216</v>
      </c>
      <c r="I231" s="6" t="s">
        <v>73</v>
      </c>
      <c r="J231" s="6" t="s">
        <v>125</v>
      </c>
      <c r="K231" s="6">
        <v>6</v>
      </c>
      <c r="L231" s="6" t="s">
        <v>218</v>
      </c>
      <c r="M231" s="6" t="s">
        <v>8</v>
      </c>
      <c r="N231" s="6" t="s">
        <v>9</v>
      </c>
      <c r="O231" s="6" t="s">
        <v>25</v>
      </c>
      <c r="P231" s="6" t="s">
        <v>192</v>
      </c>
      <c r="Q231" s="6" t="s">
        <v>129</v>
      </c>
      <c r="R231" s="8">
        <v>2.7</v>
      </c>
      <c r="S231" s="8">
        <v>66.069999999999993</v>
      </c>
      <c r="T231" s="8">
        <v>0</v>
      </c>
      <c r="U231" s="8">
        <v>66.069999999999993</v>
      </c>
      <c r="V231" s="6" t="s">
        <v>121</v>
      </c>
      <c r="W231" s="6" t="s">
        <v>317</v>
      </c>
    </row>
    <row r="232" spans="1:23">
      <c r="A232" s="6">
        <v>229</v>
      </c>
      <c r="B232" s="7" t="s">
        <v>1217</v>
      </c>
      <c r="C232" s="7" t="s">
        <v>121</v>
      </c>
      <c r="D232" s="6" t="s">
        <v>38</v>
      </c>
      <c r="E232" s="6" t="s">
        <v>1218</v>
      </c>
      <c r="F232" s="6" t="s">
        <v>70</v>
      </c>
      <c r="G232" s="6" t="s">
        <v>1219</v>
      </c>
      <c r="H232" s="7" t="s">
        <v>1220</v>
      </c>
      <c r="I232" s="6" t="s">
        <v>137</v>
      </c>
      <c r="J232" s="6" t="s">
        <v>125</v>
      </c>
      <c r="K232" s="6">
        <v>60</v>
      </c>
      <c r="L232" s="6" t="s">
        <v>138</v>
      </c>
      <c r="M232" s="6" t="s">
        <v>12</v>
      </c>
      <c r="N232" s="6" t="s">
        <v>9</v>
      </c>
      <c r="O232" s="6" t="s">
        <v>23</v>
      </c>
      <c r="P232" s="6" t="s">
        <v>172</v>
      </c>
      <c r="Q232" s="6" t="s">
        <v>225</v>
      </c>
      <c r="R232" s="8">
        <v>0</v>
      </c>
      <c r="S232" s="8">
        <v>3.27</v>
      </c>
      <c r="T232" s="8">
        <v>19.37</v>
      </c>
      <c r="U232" s="8">
        <v>22.64</v>
      </c>
      <c r="V232" s="6" t="s">
        <v>1221</v>
      </c>
      <c r="W232" s="6" t="s">
        <v>291</v>
      </c>
    </row>
    <row r="233" spans="1:23" ht="22.35">
      <c r="A233" s="6">
        <v>230</v>
      </c>
      <c r="B233" s="7" t="s">
        <v>1222</v>
      </c>
      <c r="C233" s="7" t="s">
        <v>121</v>
      </c>
      <c r="D233" s="6" t="s">
        <v>28</v>
      </c>
      <c r="E233" s="6" t="s">
        <v>1223</v>
      </c>
      <c r="F233" s="6" t="s">
        <v>83</v>
      </c>
      <c r="G233" s="6" t="s">
        <v>1224</v>
      </c>
      <c r="H233" s="7" t="s">
        <v>1225</v>
      </c>
      <c r="I233" s="6" t="s">
        <v>396</v>
      </c>
      <c r="J233" s="6" t="s">
        <v>74</v>
      </c>
      <c r="K233" s="6">
        <v>400</v>
      </c>
      <c r="L233" s="6" t="s">
        <v>171</v>
      </c>
      <c r="M233" s="6" t="s">
        <v>16</v>
      </c>
      <c r="N233" s="6" t="s">
        <v>9</v>
      </c>
      <c r="O233" s="6" t="s">
        <v>29</v>
      </c>
      <c r="P233" s="6" t="s">
        <v>277</v>
      </c>
      <c r="Q233" s="6" t="s">
        <v>149</v>
      </c>
      <c r="R233" s="8">
        <v>0</v>
      </c>
      <c r="S233" s="8">
        <v>2.84</v>
      </c>
      <c r="T233" s="8">
        <v>0</v>
      </c>
      <c r="U233" s="8">
        <v>2.84</v>
      </c>
      <c r="V233" s="6" t="s">
        <v>121</v>
      </c>
      <c r="W233" s="6" t="s">
        <v>511</v>
      </c>
    </row>
    <row r="234" spans="1:23">
      <c r="A234" s="6">
        <v>231</v>
      </c>
      <c r="B234" s="7" t="s">
        <v>1226</v>
      </c>
      <c r="C234" s="7" t="s">
        <v>121</v>
      </c>
      <c r="D234" s="6" t="s">
        <v>30</v>
      </c>
      <c r="E234" s="6" t="s">
        <v>1227</v>
      </c>
      <c r="F234" s="6" t="s">
        <v>70</v>
      </c>
      <c r="G234" s="6" t="s">
        <v>1228</v>
      </c>
      <c r="H234" s="7" t="s">
        <v>1229</v>
      </c>
      <c r="I234" s="6" t="s">
        <v>86</v>
      </c>
      <c r="J234" s="6" t="s">
        <v>74</v>
      </c>
      <c r="K234" s="6">
        <v>400</v>
      </c>
      <c r="L234" s="6" t="s">
        <v>241</v>
      </c>
      <c r="M234" s="6" t="s">
        <v>10</v>
      </c>
      <c r="N234" s="6" t="s">
        <v>9</v>
      </c>
      <c r="O234" s="6" t="s">
        <v>21</v>
      </c>
      <c r="P234" s="6" t="s">
        <v>117</v>
      </c>
      <c r="Q234" s="6" t="s">
        <v>426</v>
      </c>
      <c r="R234" s="8">
        <v>8.1999999999999993</v>
      </c>
      <c r="S234" s="8">
        <v>338.46</v>
      </c>
      <c r="T234" s="8">
        <v>43.09</v>
      </c>
      <c r="U234" s="8">
        <v>381.55</v>
      </c>
      <c r="V234" s="6" t="s">
        <v>1230</v>
      </c>
      <c r="W234" s="6" t="s">
        <v>397</v>
      </c>
    </row>
    <row r="235" spans="1:23">
      <c r="A235" s="6">
        <v>232</v>
      </c>
      <c r="B235" s="7" t="s">
        <v>1231</v>
      </c>
      <c r="C235" s="7" t="s">
        <v>1232</v>
      </c>
      <c r="D235" s="6" t="s">
        <v>32</v>
      </c>
      <c r="E235" s="6" t="s">
        <v>1065</v>
      </c>
      <c r="F235" s="6" t="s">
        <v>83</v>
      </c>
      <c r="G235" s="6" t="s">
        <v>1233</v>
      </c>
      <c r="H235" s="7" t="s">
        <v>1234</v>
      </c>
      <c r="I235" s="6" t="s">
        <v>86</v>
      </c>
      <c r="J235" s="6" t="s">
        <v>74</v>
      </c>
      <c r="K235" s="6">
        <v>400</v>
      </c>
      <c r="L235" s="6" t="s">
        <v>97</v>
      </c>
      <c r="M235" s="6" t="s">
        <v>12</v>
      </c>
      <c r="N235" s="6" t="s">
        <v>11</v>
      </c>
      <c r="O235" s="6" t="s">
        <v>31</v>
      </c>
      <c r="P235" s="6" t="s">
        <v>185</v>
      </c>
      <c r="Q235" s="6" t="s">
        <v>186</v>
      </c>
      <c r="R235" s="8">
        <v>7.3</v>
      </c>
      <c r="S235" s="8">
        <v>81.87</v>
      </c>
      <c r="T235" s="8">
        <v>43.92</v>
      </c>
      <c r="U235" s="8">
        <v>125.79</v>
      </c>
      <c r="V235" s="6" t="s">
        <v>1235</v>
      </c>
      <c r="W235" s="6" t="s">
        <v>141</v>
      </c>
    </row>
    <row r="236" spans="1:23">
      <c r="A236" s="6">
        <v>233</v>
      </c>
      <c r="B236" s="7" t="s">
        <v>1236</v>
      </c>
      <c r="C236" s="7" t="s">
        <v>1237</v>
      </c>
      <c r="D236" s="6" t="s">
        <v>32</v>
      </c>
      <c r="E236" s="6" t="s">
        <v>1238</v>
      </c>
      <c r="F236" s="6" t="s">
        <v>83</v>
      </c>
      <c r="G236" s="6" t="s">
        <v>1239</v>
      </c>
      <c r="H236" s="7" t="s">
        <v>1240</v>
      </c>
      <c r="I236" s="6" t="s">
        <v>73</v>
      </c>
      <c r="J236" s="6" t="s">
        <v>125</v>
      </c>
      <c r="K236" s="6">
        <v>6</v>
      </c>
      <c r="L236" s="6" t="s">
        <v>267</v>
      </c>
      <c r="M236" s="6" t="s">
        <v>10</v>
      </c>
      <c r="N236" s="6" t="s">
        <v>9</v>
      </c>
      <c r="O236" s="6" t="s">
        <v>23</v>
      </c>
      <c r="P236" s="6" t="s">
        <v>178</v>
      </c>
      <c r="Q236" s="6" t="s">
        <v>179</v>
      </c>
      <c r="R236" s="8">
        <v>9.8000000000000007</v>
      </c>
      <c r="S236" s="8">
        <v>235.19</v>
      </c>
      <c r="T236" s="8">
        <v>21.29</v>
      </c>
      <c r="U236" s="8">
        <v>256.48</v>
      </c>
      <c r="V236" s="6" t="s">
        <v>1241</v>
      </c>
      <c r="W236" s="6" t="s">
        <v>317</v>
      </c>
    </row>
    <row r="237" spans="1:23">
      <c r="A237" s="6">
        <v>234</v>
      </c>
      <c r="B237" s="7" t="s">
        <v>1242</v>
      </c>
      <c r="C237" s="7" t="s">
        <v>1243</v>
      </c>
      <c r="D237" s="6" t="s">
        <v>28</v>
      </c>
      <c r="E237" s="6" t="s">
        <v>1244</v>
      </c>
      <c r="F237" s="6" t="s">
        <v>83</v>
      </c>
      <c r="G237" s="6" t="s">
        <v>1245</v>
      </c>
      <c r="H237" s="7" t="s">
        <v>1246</v>
      </c>
      <c r="I237" s="6" t="s">
        <v>137</v>
      </c>
      <c r="J237" s="6" t="s">
        <v>74</v>
      </c>
      <c r="K237" s="6">
        <v>400</v>
      </c>
      <c r="L237" s="6" t="s">
        <v>199</v>
      </c>
      <c r="M237" s="6" t="s">
        <v>12</v>
      </c>
      <c r="N237" s="6" t="s">
        <v>13</v>
      </c>
      <c r="O237" s="6" t="s">
        <v>425</v>
      </c>
      <c r="P237" s="6" t="s">
        <v>185</v>
      </c>
      <c r="Q237" s="6" t="s">
        <v>186</v>
      </c>
      <c r="R237" s="8">
        <v>0</v>
      </c>
      <c r="S237" s="8">
        <v>2.31</v>
      </c>
      <c r="T237" s="8">
        <v>41.88</v>
      </c>
      <c r="U237" s="8">
        <v>44.19</v>
      </c>
      <c r="V237" s="6" t="s">
        <v>1247</v>
      </c>
      <c r="W237" s="6" t="s">
        <v>744</v>
      </c>
    </row>
    <row r="238" spans="1:23">
      <c r="A238" s="6">
        <v>235</v>
      </c>
      <c r="B238" s="7" t="s">
        <v>1248</v>
      </c>
      <c r="C238" s="7" t="s">
        <v>121</v>
      </c>
      <c r="D238" s="6" t="s">
        <v>20</v>
      </c>
      <c r="E238" s="6" t="s">
        <v>1249</v>
      </c>
      <c r="F238" s="6" t="s">
        <v>70</v>
      </c>
      <c r="G238" s="6" t="s">
        <v>721</v>
      </c>
      <c r="H238" s="7" t="s">
        <v>1250</v>
      </c>
      <c r="I238" s="6" t="s">
        <v>86</v>
      </c>
      <c r="J238" s="6" t="s">
        <v>74</v>
      </c>
      <c r="K238" s="6">
        <v>200</v>
      </c>
      <c r="L238" s="6" t="s">
        <v>163</v>
      </c>
      <c r="M238" s="6" t="s">
        <v>12</v>
      </c>
      <c r="N238" s="6" t="s">
        <v>13</v>
      </c>
      <c r="O238" s="6" t="s">
        <v>425</v>
      </c>
      <c r="P238" s="6" t="s">
        <v>277</v>
      </c>
      <c r="Q238" s="6" t="s">
        <v>149</v>
      </c>
      <c r="R238" s="8">
        <v>4.9000000000000004</v>
      </c>
      <c r="S238" s="8">
        <v>223.72</v>
      </c>
      <c r="T238" s="8">
        <v>8.74</v>
      </c>
      <c r="U238" s="8">
        <v>232.46</v>
      </c>
      <c r="V238" s="6" t="s">
        <v>95</v>
      </c>
      <c r="W238" s="6" t="s">
        <v>110</v>
      </c>
    </row>
    <row r="239" spans="1:23">
      <c r="A239" s="6">
        <v>236</v>
      </c>
      <c r="B239" s="7" t="s">
        <v>1251</v>
      </c>
      <c r="C239" s="7" t="s">
        <v>121</v>
      </c>
      <c r="D239" s="6" t="s">
        <v>22</v>
      </c>
      <c r="E239" s="6" t="s">
        <v>1252</v>
      </c>
      <c r="F239" s="6" t="s">
        <v>83</v>
      </c>
      <c r="G239" s="6" t="s">
        <v>463</v>
      </c>
      <c r="H239" s="7" t="s">
        <v>1253</v>
      </c>
      <c r="I239" s="6" t="s">
        <v>73</v>
      </c>
      <c r="J239" s="6" t="s">
        <v>125</v>
      </c>
      <c r="K239" s="6">
        <v>60</v>
      </c>
      <c r="L239" s="6" t="s">
        <v>218</v>
      </c>
      <c r="M239" s="6" t="s">
        <v>8</v>
      </c>
      <c r="N239" s="6" t="s">
        <v>9</v>
      </c>
      <c r="O239" s="6" t="s">
        <v>33</v>
      </c>
      <c r="P239" s="6" t="s">
        <v>185</v>
      </c>
      <c r="Q239" s="6" t="s">
        <v>186</v>
      </c>
      <c r="R239" s="8">
        <v>7.3</v>
      </c>
      <c r="S239" s="8">
        <v>142.83000000000001</v>
      </c>
      <c r="T239" s="8">
        <v>0</v>
      </c>
      <c r="U239" s="8">
        <v>142.83000000000001</v>
      </c>
      <c r="V239" s="6" t="s">
        <v>121</v>
      </c>
      <c r="W239" s="6" t="s">
        <v>219</v>
      </c>
    </row>
    <row r="240" spans="1:23">
      <c r="A240" s="6">
        <v>237</v>
      </c>
      <c r="B240" s="7" t="s">
        <v>1254</v>
      </c>
      <c r="C240" s="7" t="s">
        <v>1255</v>
      </c>
      <c r="D240" s="6" t="s">
        <v>20</v>
      </c>
      <c r="E240" s="6" t="s">
        <v>1256</v>
      </c>
      <c r="F240" s="6" t="s">
        <v>83</v>
      </c>
      <c r="G240" s="6" t="s">
        <v>1257</v>
      </c>
      <c r="H240" s="7" t="s">
        <v>1258</v>
      </c>
      <c r="I240" s="6" t="s">
        <v>73</v>
      </c>
      <c r="J240" s="6" t="s">
        <v>125</v>
      </c>
      <c r="K240" s="6">
        <v>6</v>
      </c>
      <c r="L240" s="6" t="s">
        <v>241</v>
      </c>
      <c r="M240" s="6" t="s">
        <v>14</v>
      </c>
      <c r="N240" s="6" t="s">
        <v>15</v>
      </c>
      <c r="O240" s="6" t="s">
        <v>127</v>
      </c>
      <c r="P240" s="6" t="s">
        <v>99</v>
      </c>
      <c r="Q240" s="6" t="s">
        <v>139</v>
      </c>
      <c r="R240" s="8">
        <v>2.6</v>
      </c>
      <c r="S240" s="8">
        <v>61.25</v>
      </c>
      <c r="T240" s="8">
        <v>0</v>
      </c>
      <c r="U240" s="8">
        <v>61.25</v>
      </c>
      <c r="V240" s="6" t="s">
        <v>121</v>
      </c>
      <c r="W240" s="6" t="s">
        <v>291</v>
      </c>
    </row>
    <row r="241" spans="1:23">
      <c r="A241" s="6">
        <v>238</v>
      </c>
      <c r="B241" s="7" t="s">
        <v>1259</v>
      </c>
      <c r="C241" s="7" t="s">
        <v>1260</v>
      </c>
      <c r="D241" s="6" t="s">
        <v>22</v>
      </c>
      <c r="E241" s="6" t="s">
        <v>1261</v>
      </c>
      <c r="F241" s="6" t="s">
        <v>83</v>
      </c>
      <c r="G241" s="6" t="s">
        <v>1262</v>
      </c>
      <c r="H241" s="7" t="s">
        <v>1263</v>
      </c>
      <c r="I241" s="6" t="s">
        <v>147</v>
      </c>
      <c r="J241" s="6" t="s">
        <v>125</v>
      </c>
      <c r="K241" s="6">
        <v>40</v>
      </c>
      <c r="L241" s="6" t="s">
        <v>327</v>
      </c>
      <c r="M241" s="6" t="s">
        <v>8</v>
      </c>
      <c r="N241" s="6" t="s">
        <v>13</v>
      </c>
      <c r="O241" s="6" t="s">
        <v>37</v>
      </c>
      <c r="P241" s="6" t="s">
        <v>172</v>
      </c>
      <c r="Q241" s="6" t="s">
        <v>149</v>
      </c>
      <c r="R241" s="8">
        <v>4.3</v>
      </c>
      <c r="S241" s="8">
        <v>90.29</v>
      </c>
      <c r="T241" s="8">
        <v>0</v>
      </c>
      <c r="U241" s="8">
        <v>90.29</v>
      </c>
      <c r="V241" s="6" t="s">
        <v>121</v>
      </c>
      <c r="W241" s="6" t="s">
        <v>219</v>
      </c>
    </row>
    <row r="242" spans="1:23">
      <c r="A242" s="6">
        <v>239</v>
      </c>
      <c r="B242" s="7" t="s">
        <v>1264</v>
      </c>
      <c r="C242" s="7" t="s">
        <v>1265</v>
      </c>
      <c r="D242" s="6" t="s">
        <v>22</v>
      </c>
      <c r="E242" s="6" t="s">
        <v>1266</v>
      </c>
      <c r="F242" s="6" t="s">
        <v>83</v>
      </c>
      <c r="G242" s="6" t="s">
        <v>1267</v>
      </c>
      <c r="H242" s="7" t="s">
        <v>1268</v>
      </c>
      <c r="I242" s="6" t="s">
        <v>86</v>
      </c>
      <c r="J242" s="6" t="s">
        <v>125</v>
      </c>
      <c r="K242" s="6">
        <v>40</v>
      </c>
      <c r="L242" s="6" t="s">
        <v>107</v>
      </c>
      <c r="M242" s="6" t="s">
        <v>14</v>
      </c>
      <c r="N242" s="6" t="s">
        <v>15</v>
      </c>
      <c r="O242" s="6" t="s">
        <v>156</v>
      </c>
      <c r="P242" s="6" t="s">
        <v>433</v>
      </c>
      <c r="Q242" s="6" t="s">
        <v>434</v>
      </c>
      <c r="R242" s="8">
        <v>4</v>
      </c>
      <c r="S242" s="8">
        <v>77.16</v>
      </c>
      <c r="T242" s="8">
        <v>0</v>
      </c>
      <c r="U242" s="8">
        <v>77.16</v>
      </c>
      <c r="V242" s="6" t="s">
        <v>121</v>
      </c>
      <c r="W242" s="6" t="s">
        <v>131</v>
      </c>
    </row>
    <row r="243" spans="1:23">
      <c r="A243" s="6">
        <v>240</v>
      </c>
      <c r="B243" s="7" t="s">
        <v>1269</v>
      </c>
      <c r="C243" s="7" t="s">
        <v>121</v>
      </c>
      <c r="D243" s="6" t="s">
        <v>30</v>
      </c>
      <c r="E243" s="6" t="s">
        <v>1270</v>
      </c>
      <c r="F243" s="6" t="s">
        <v>83</v>
      </c>
      <c r="G243" s="6" t="s">
        <v>474</v>
      </c>
      <c r="H243" s="7" t="s">
        <v>1271</v>
      </c>
      <c r="I243" s="6" t="s">
        <v>73</v>
      </c>
      <c r="J243" s="6" t="s">
        <v>74</v>
      </c>
      <c r="K243" s="6">
        <v>400</v>
      </c>
      <c r="L243" s="6" t="s">
        <v>97</v>
      </c>
      <c r="M243" s="6" t="s">
        <v>8</v>
      </c>
      <c r="N243" s="6" t="s">
        <v>13</v>
      </c>
      <c r="O243" s="6" t="s">
        <v>425</v>
      </c>
      <c r="P243" s="6" t="s">
        <v>277</v>
      </c>
      <c r="Q243" s="6" t="s">
        <v>149</v>
      </c>
      <c r="R243" s="8">
        <v>17.8</v>
      </c>
      <c r="S243" s="8">
        <v>455.22</v>
      </c>
      <c r="T243" s="8">
        <v>0</v>
      </c>
      <c r="U243" s="8">
        <v>455.22</v>
      </c>
      <c r="V243" s="6" t="s">
        <v>121</v>
      </c>
      <c r="W243" s="6" t="s">
        <v>151</v>
      </c>
    </row>
    <row r="244" spans="1:23">
      <c r="A244" s="6">
        <v>241</v>
      </c>
      <c r="B244" s="7" t="s">
        <v>1272</v>
      </c>
      <c r="C244" s="7" t="s">
        <v>1273</v>
      </c>
      <c r="D244" s="6" t="s">
        <v>20</v>
      </c>
      <c r="E244" s="6" t="s">
        <v>1274</v>
      </c>
      <c r="F244" s="6" t="s">
        <v>83</v>
      </c>
      <c r="G244" s="6" t="s">
        <v>1275</v>
      </c>
      <c r="H244" s="7" t="s">
        <v>1276</v>
      </c>
      <c r="I244" s="6" t="s">
        <v>73</v>
      </c>
      <c r="J244" s="6" t="s">
        <v>125</v>
      </c>
      <c r="K244" s="6">
        <v>40</v>
      </c>
      <c r="L244" s="6" t="s">
        <v>163</v>
      </c>
      <c r="M244" s="6" t="s">
        <v>10</v>
      </c>
      <c r="N244" s="6" t="s">
        <v>13</v>
      </c>
      <c r="O244" s="6" t="s">
        <v>35</v>
      </c>
      <c r="P244" s="6" t="s">
        <v>157</v>
      </c>
      <c r="Q244" s="6" t="s">
        <v>158</v>
      </c>
      <c r="R244" s="8">
        <v>4.0999999999999996</v>
      </c>
      <c r="S244" s="8">
        <v>86.85</v>
      </c>
      <c r="T244" s="8">
        <v>19.670000000000002</v>
      </c>
      <c r="U244" s="8">
        <v>106.52</v>
      </c>
      <c r="V244" s="6" t="s">
        <v>1277</v>
      </c>
      <c r="W244" s="6" t="s">
        <v>79</v>
      </c>
    </row>
    <row r="245" spans="1:23">
      <c r="A245" s="6">
        <v>242</v>
      </c>
      <c r="B245" s="7" t="s">
        <v>1278</v>
      </c>
      <c r="C245" s="7" t="s">
        <v>121</v>
      </c>
      <c r="D245" s="6" t="s">
        <v>26</v>
      </c>
      <c r="E245" s="6" t="s">
        <v>1279</v>
      </c>
      <c r="F245" s="6" t="s">
        <v>70</v>
      </c>
      <c r="G245" s="6" t="s">
        <v>1280</v>
      </c>
      <c r="H245" s="7" t="s">
        <v>1281</v>
      </c>
      <c r="I245" s="6" t="s">
        <v>73</v>
      </c>
      <c r="J245" s="6" t="s">
        <v>125</v>
      </c>
      <c r="K245" s="6">
        <v>40</v>
      </c>
      <c r="L245" s="6" t="s">
        <v>138</v>
      </c>
      <c r="M245" s="6" t="s">
        <v>10</v>
      </c>
      <c r="N245" s="6" t="s">
        <v>13</v>
      </c>
      <c r="O245" s="6" t="s">
        <v>39</v>
      </c>
      <c r="P245" s="6" t="s">
        <v>178</v>
      </c>
      <c r="Q245" s="6" t="s">
        <v>179</v>
      </c>
      <c r="R245" s="8">
        <v>1.5</v>
      </c>
      <c r="S245" s="8">
        <v>31.26</v>
      </c>
      <c r="T245" s="8">
        <v>20.85</v>
      </c>
      <c r="U245" s="8">
        <v>52.11</v>
      </c>
      <c r="V245" s="6" t="s">
        <v>1282</v>
      </c>
      <c r="W245" s="6" t="s">
        <v>173</v>
      </c>
    </row>
    <row r="246" spans="1:23" ht="22.35">
      <c r="A246" s="6">
        <v>243</v>
      </c>
      <c r="B246" s="7" t="s">
        <v>1283</v>
      </c>
      <c r="C246" s="7" t="s">
        <v>121</v>
      </c>
      <c r="D246" s="6" t="s">
        <v>28</v>
      </c>
      <c r="E246" s="6" t="s">
        <v>1284</v>
      </c>
      <c r="F246" s="6" t="s">
        <v>70</v>
      </c>
      <c r="G246" s="6" t="s">
        <v>1285</v>
      </c>
      <c r="H246" s="7" t="s">
        <v>1286</v>
      </c>
      <c r="I246" s="6" t="s">
        <v>147</v>
      </c>
      <c r="J246" s="6" t="s">
        <v>74</v>
      </c>
      <c r="K246" s="6">
        <v>200</v>
      </c>
      <c r="L246" s="6" t="s">
        <v>267</v>
      </c>
      <c r="M246" s="6" t="s">
        <v>16</v>
      </c>
      <c r="N246" s="6" t="s">
        <v>9</v>
      </c>
      <c r="O246" s="6" t="s">
        <v>21</v>
      </c>
      <c r="P246" s="6" t="s">
        <v>108</v>
      </c>
      <c r="Q246" s="6" t="s">
        <v>206</v>
      </c>
      <c r="R246" s="8">
        <v>5.4</v>
      </c>
      <c r="S246" s="8">
        <v>138.55000000000001</v>
      </c>
      <c r="T246" s="8">
        <v>0</v>
      </c>
      <c r="U246" s="8">
        <v>138.55000000000001</v>
      </c>
      <c r="V246" s="6" t="s">
        <v>121</v>
      </c>
      <c r="W246" s="6" t="s">
        <v>173</v>
      </c>
    </row>
    <row r="247" spans="1:23">
      <c r="A247" s="6">
        <v>244</v>
      </c>
      <c r="B247" s="7" t="s">
        <v>1287</v>
      </c>
      <c r="C247" s="7" t="s">
        <v>121</v>
      </c>
      <c r="D247" s="6" t="s">
        <v>26</v>
      </c>
      <c r="E247" s="6" t="s">
        <v>1288</v>
      </c>
      <c r="F247" s="6" t="s">
        <v>83</v>
      </c>
      <c r="G247" s="6" t="s">
        <v>1289</v>
      </c>
      <c r="H247" s="7" t="s">
        <v>1290</v>
      </c>
      <c r="I247" s="6" t="s">
        <v>73</v>
      </c>
      <c r="J247" s="6" t="s">
        <v>125</v>
      </c>
      <c r="K247" s="6">
        <v>40</v>
      </c>
      <c r="L247" s="6" t="s">
        <v>126</v>
      </c>
      <c r="M247" s="6" t="s">
        <v>14</v>
      </c>
      <c r="N247" s="6" t="s">
        <v>9</v>
      </c>
      <c r="O247" s="6" t="s">
        <v>23</v>
      </c>
      <c r="P247" s="6" t="s">
        <v>172</v>
      </c>
      <c r="Q247" s="6" t="s">
        <v>149</v>
      </c>
      <c r="R247" s="8">
        <v>0.9</v>
      </c>
      <c r="S247" s="8">
        <v>30.85</v>
      </c>
      <c r="T247" s="8">
        <v>0</v>
      </c>
      <c r="U247" s="8">
        <v>30.85</v>
      </c>
      <c r="V247" s="6" t="s">
        <v>121</v>
      </c>
      <c r="W247" s="6" t="s">
        <v>284</v>
      </c>
    </row>
    <row r="248" spans="1:23">
      <c r="A248" s="6">
        <v>245</v>
      </c>
      <c r="B248" s="7" t="s">
        <v>1291</v>
      </c>
      <c r="C248" s="7" t="s">
        <v>121</v>
      </c>
      <c r="D248" s="6" t="s">
        <v>28</v>
      </c>
      <c r="E248" s="6" t="s">
        <v>1292</v>
      </c>
      <c r="F248" s="6" t="s">
        <v>70</v>
      </c>
      <c r="G248" s="6" t="s">
        <v>1293</v>
      </c>
      <c r="H248" s="7" t="s">
        <v>1294</v>
      </c>
      <c r="I248" s="6" t="s">
        <v>86</v>
      </c>
      <c r="J248" s="6" t="s">
        <v>74</v>
      </c>
      <c r="K248" s="6">
        <v>200</v>
      </c>
      <c r="L248" s="6" t="s">
        <v>126</v>
      </c>
      <c r="M248" s="6" t="s">
        <v>8</v>
      </c>
      <c r="N248" s="6" t="s">
        <v>11</v>
      </c>
      <c r="O248" s="6" t="s">
        <v>43</v>
      </c>
      <c r="P248" s="6" t="s">
        <v>172</v>
      </c>
      <c r="Q248" s="6" t="s">
        <v>149</v>
      </c>
      <c r="R248" s="8">
        <v>6.1</v>
      </c>
      <c r="S248" s="8">
        <v>183.51</v>
      </c>
      <c r="T248" s="8">
        <v>0</v>
      </c>
      <c r="U248" s="8">
        <v>183.51</v>
      </c>
      <c r="V248" s="6" t="s">
        <v>121</v>
      </c>
      <c r="W248" s="6" t="s">
        <v>242</v>
      </c>
    </row>
    <row r="249" spans="1:23">
      <c r="A249" s="6">
        <v>246</v>
      </c>
      <c r="B249" s="7" t="s">
        <v>1295</v>
      </c>
      <c r="C249" s="7" t="s">
        <v>1296</v>
      </c>
      <c r="D249" s="6" t="s">
        <v>26</v>
      </c>
      <c r="E249" s="6" t="s">
        <v>1297</v>
      </c>
      <c r="F249" s="6" t="s">
        <v>83</v>
      </c>
      <c r="G249" s="6" t="s">
        <v>1298</v>
      </c>
      <c r="H249" s="7" t="s">
        <v>1299</v>
      </c>
      <c r="I249" s="6" t="s">
        <v>137</v>
      </c>
      <c r="J249" s="6" t="s">
        <v>125</v>
      </c>
      <c r="K249" s="6">
        <v>6</v>
      </c>
      <c r="L249" s="6" t="s">
        <v>97</v>
      </c>
      <c r="M249" s="6" t="s">
        <v>17</v>
      </c>
      <c r="N249" s="6" t="s">
        <v>11</v>
      </c>
      <c r="O249" s="6" t="s">
        <v>33</v>
      </c>
      <c r="P249" s="6" t="s">
        <v>117</v>
      </c>
      <c r="Q249" s="6" t="s">
        <v>426</v>
      </c>
      <c r="R249" s="8">
        <v>0</v>
      </c>
      <c r="S249" s="8">
        <v>1.55</v>
      </c>
      <c r="T249" s="8">
        <v>6.58</v>
      </c>
      <c r="U249" s="8">
        <v>8.1300000000000008</v>
      </c>
      <c r="V249" s="6" t="s">
        <v>1300</v>
      </c>
      <c r="W249" s="6" t="s">
        <v>251</v>
      </c>
    </row>
    <row r="250" spans="1:23">
      <c r="A250" s="6">
        <v>247</v>
      </c>
      <c r="B250" s="7" t="s">
        <v>1301</v>
      </c>
      <c r="C250" s="7" t="s">
        <v>121</v>
      </c>
      <c r="D250" s="6" t="s">
        <v>20</v>
      </c>
      <c r="E250" s="6" t="s">
        <v>1302</v>
      </c>
      <c r="F250" s="6" t="s">
        <v>70</v>
      </c>
      <c r="G250" s="6" t="s">
        <v>1303</v>
      </c>
      <c r="H250" s="7" t="s">
        <v>1304</v>
      </c>
      <c r="I250" s="6" t="s">
        <v>86</v>
      </c>
      <c r="J250" s="6" t="s">
        <v>74</v>
      </c>
      <c r="K250" s="6">
        <v>200</v>
      </c>
      <c r="L250" s="6" t="s">
        <v>267</v>
      </c>
      <c r="M250" s="6" t="s">
        <v>17</v>
      </c>
      <c r="N250" s="6" t="s">
        <v>13</v>
      </c>
      <c r="O250" s="6" t="s">
        <v>39</v>
      </c>
      <c r="P250" s="6" t="s">
        <v>192</v>
      </c>
      <c r="Q250" s="6" t="s">
        <v>289</v>
      </c>
      <c r="R250" s="8">
        <v>1</v>
      </c>
      <c r="S250" s="8">
        <v>39.51</v>
      </c>
      <c r="T250" s="8">
        <v>41.06</v>
      </c>
      <c r="U250" s="8">
        <v>80.569999999999993</v>
      </c>
      <c r="V250" s="6" t="s">
        <v>1305</v>
      </c>
      <c r="W250" s="6" t="s">
        <v>110</v>
      </c>
    </row>
    <row r="251" spans="1:23">
      <c r="A251" s="6">
        <v>248</v>
      </c>
      <c r="B251" s="7" t="s">
        <v>1306</v>
      </c>
      <c r="C251" s="7" t="s">
        <v>121</v>
      </c>
      <c r="D251" s="6" t="s">
        <v>34</v>
      </c>
      <c r="E251" s="6" t="s">
        <v>1307</v>
      </c>
      <c r="F251" s="6" t="s">
        <v>70</v>
      </c>
      <c r="G251" s="6" t="s">
        <v>1308</v>
      </c>
      <c r="H251" s="7" t="s">
        <v>1309</v>
      </c>
      <c r="I251" s="6" t="s">
        <v>137</v>
      </c>
      <c r="J251" s="6" t="s">
        <v>125</v>
      </c>
      <c r="K251" s="6">
        <v>40</v>
      </c>
      <c r="L251" s="6" t="s">
        <v>171</v>
      </c>
      <c r="M251" s="6" t="s">
        <v>8</v>
      </c>
      <c r="N251" s="6" t="s">
        <v>15</v>
      </c>
      <c r="O251" s="6" t="s">
        <v>29</v>
      </c>
      <c r="P251" s="6" t="s">
        <v>117</v>
      </c>
      <c r="Q251" s="6" t="s">
        <v>426</v>
      </c>
      <c r="R251" s="8">
        <v>0</v>
      </c>
      <c r="S251" s="8">
        <v>5</v>
      </c>
      <c r="T251" s="8">
        <v>0</v>
      </c>
      <c r="U251" s="8">
        <v>5</v>
      </c>
      <c r="V251" s="6" t="s">
        <v>121</v>
      </c>
      <c r="W251" s="6" t="s">
        <v>444</v>
      </c>
    </row>
    <row r="252" spans="1:23">
      <c r="A252" s="6">
        <v>249</v>
      </c>
      <c r="B252" s="7" t="s">
        <v>1310</v>
      </c>
      <c r="C252" s="7" t="s">
        <v>1311</v>
      </c>
      <c r="D252" s="6" t="s">
        <v>24</v>
      </c>
      <c r="E252" s="6" t="s">
        <v>1312</v>
      </c>
      <c r="F252" s="6" t="s">
        <v>83</v>
      </c>
      <c r="G252" s="6" t="s">
        <v>824</v>
      </c>
      <c r="H252" s="7" t="s">
        <v>1313</v>
      </c>
      <c r="I252" s="6" t="s">
        <v>396</v>
      </c>
      <c r="J252" s="6" t="s">
        <v>125</v>
      </c>
      <c r="K252" s="6">
        <v>60</v>
      </c>
      <c r="L252" s="6" t="s">
        <v>171</v>
      </c>
      <c r="M252" s="6" t="s">
        <v>10</v>
      </c>
      <c r="N252" s="6" t="s">
        <v>13</v>
      </c>
      <c r="O252" s="6" t="s">
        <v>425</v>
      </c>
      <c r="P252" s="6" t="s">
        <v>277</v>
      </c>
      <c r="Q252" s="6" t="s">
        <v>149</v>
      </c>
      <c r="R252" s="8">
        <v>0</v>
      </c>
      <c r="S252" s="8">
        <v>1.39</v>
      </c>
      <c r="T252" s="8">
        <v>45.72</v>
      </c>
      <c r="U252" s="8">
        <v>47.11</v>
      </c>
      <c r="V252" s="6" t="s">
        <v>357</v>
      </c>
      <c r="W252" s="6" t="s">
        <v>257</v>
      </c>
    </row>
    <row r="253" spans="1:23" ht="22.35">
      <c r="A253" s="6">
        <v>250</v>
      </c>
      <c r="B253" s="7" t="s">
        <v>1314</v>
      </c>
      <c r="C253" s="7" t="s">
        <v>121</v>
      </c>
      <c r="D253" s="6" t="s">
        <v>34</v>
      </c>
      <c r="E253" s="6" t="s">
        <v>1315</v>
      </c>
      <c r="F253" s="6" t="s">
        <v>70</v>
      </c>
      <c r="G253" s="6" t="s">
        <v>1316</v>
      </c>
      <c r="H253" s="7" t="s">
        <v>1317</v>
      </c>
      <c r="I253" s="6" t="s">
        <v>86</v>
      </c>
      <c r="J253" s="6" t="s">
        <v>125</v>
      </c>
      <c r="K253" s="6">
        <v>40</v>
      </c>
      <c r="L253" s="6" t="s">
        <v>241</v>
      </c>
      <c r="M253" s="6" t="s">
        <v>16</v>
      </c>
      <c r="N253" s="6" t="s">
        <v>11</v>
      </c>
      <c r="O253" s="6" t="s">
        <v>33</v>
      </c>
      <c r="P253" s="6" t="s">
        <v>256</v>
      </c>
      <c r="Q253" s="6" t="s">
        <v>149</v>
      </c>
      <c r="R253" s="8">
        <v>21.3</v>
      </c>
      <c r="S253" s="8">
        <v>578.17999999999995</v>
      </c>
      <c r="T253" s="8">
        <v>0</v>
      </c>
      <c r="U253" s="8">
        <v>578.17999999999995</v>
      </c>
      <c r="V253" s="6" t="s">
        <v>121</v>
      </c>
      <c r="W253" s="6" t="s">
        <v>291</v>
      </c>
    </row>
    <row r="254" spans="1:23">
      <c r="A254" s="6">
        <v>251</v>
      </c>
      <c r="B254" s="7" t="s">
        <v>1318</v>
      </c>
      <c r="C254" s="7" t="s">
        <v>121</v>
      </c>
      <c r="D254" s="6" t="s">
        <v>42</v>
      </c>
      <c r="E254" s="6" t="s">
        <v>1319</v>
      </c>
      <c r="F254" s="6" t="s">
        <v>70</v>
      </c>
      <c r="G254" s="6" t="s">
        <v>105</v>
      </c>
      <c r="H254" s="7" t="s">
        <v>1320</v>
      </c>
      <c r="I254" s="6" t="s">
        <v>73</v>
      </c>
      <c r="J254" s="6" t="s">
        <v>125</v>
      </c>
      <c r="K254" s="6">
        <v>40</v>
      </c>
      <c r="L254" s="6" t="s">
        <v>267</v>
      </c>
      <c r="M254" s="6" t="s">
        <v>14</v>
      </c>
      <c r="N254" s="6" t="s">
        <v>9</v>
      </c>
      <c r="O254" s="6" t="s">
        <v>23</v>
      </c>
      <c r="P254" s="6" t="s">
        <v>433</v>
      </c>
      <c r="Q254" s="6" t="s">
        <v>434</v>
      </c>
      <c r="R254" s="8">
        <v>2.1</v>
      </c>
      <c r="S254" s="8">
        <v>62.14</v>
      </c>
      <c r="T254" s="8">
        <v>0</v>
      </c>
      <c r="U254" s="8">
        <v>62.14</v>
      </c>
      <c r="V254" s="6" t="s">
        <v>121</v>
      </c>
      <c r="W254" s="6" t="s">
        <v>110</v>
      </c>
    </row>
    <row r="255" spans="1:23">
      <c r="A255" s="6">
        <v>252</v>
      </c>
      <c r="B255" s="7" t="s">
        <v>1321</v>
      </c>
      <c r="C255" s="7" t="s">
        <v>121</v>
      </c>
      <c r="D255" s="6" t="s">
        <v>36</v>
      </c>
      <c r="E255" s="6" t="s">
        <v>1322</v>
      </c>
      <c r="F255" s="6" t="s">
        <v>83</v>
      </c>
      <c r="G255" s="6" t="s">
        <v>516</v>
      </c>
      <c r="H255" s="7" t="s">
        <v>1323</v>
      </c>
      <c r="I255" s="6" t="s">
        <v>396</v>
      </c>
      <c r="J255" s="6" t="s">
        <v>125</v>
      </c>
      <c r="K255" s="6">
        <v>6</v>
      </c>
      <c r="L255" s="6" t="s">
        <v>97</v>
      </c>
      <c r="M255" s="6" t="s">
        <v>10</v>
      </c>
      <c r="N255" s="6" t="s">
        <v>13</v>
      </c>
      <c r="O255" s="6" t="s">
        <v>35</v>
      </c>
      <c r="P255" s="6" t="s">
        <v>117</v>
      </c>
      <c r="Q255" s="6" t="s">
        <v>426</v>
      </c>
      <c r="R255" s="8">
        <v>0</v>
      </c>
      <c r="S255" s="8">
        <v>4.6100000000000003</v>
      </c>
      <c r="T255" s="8">
        <v>18.989999999999998</v>
      </c>
      <c r="U255" s="8">
        <v>23.6</v>
      </c>
      <c r="V255" s="6" t="s">
        <v>1324</v>
      </c>
      <c r="W255" s="6" t="s">
        <v>744</v>
      </c>
    </row>
    <row r="256" spans="1:23">
      <c r="A256" s="6">
        <v>253</v>
      </c>
      <c r="B256" s="7" t="s">
        <v>1325</v>
      </c>
      <c r="C256" s="7" t="s">
        <v>1326</v>
      </c>
      <c r="D256" s="6" t="s">
        <v>34</v>
      </c>
      <c r="E256" s="6" t="s">
        <v>1327</v>
      </c>
      <c r="F256" s="6" t="s">
        <v>83</v>
      </c>
      <c r="G256" s="6" t="s">
        <v>1328</v>
      </c>
      <c r="H256" s="7" t="s">
        <v>1329</v>
      </c>
      <c r="I256" s="6" t="s">
        <v>73</v>
      </c>
      <c r="J256" s="6" t="s">
        <v>74</v>
      </c>
      <c r="K256" s="6">
        <v>200</v>
      </c>
      <c r="L256" s="6" t="s">
        <v>267</v>
      </c>
      <c r="M256" s="6" t="s">
        <v>14</v>
      </c>
      <c r="N256" s="6" t="s">
        <v>13</v>
      </c>
      <c r="O256" s="6" t="s">
        <v>39</v>
      </c>
      <c r="P256" s="6" t="s">
        <v>157</v>
      </c>
      <c r="Q256" s="6" t="s">
        <v>158</v>
      </c>
      <c r="R256" s="8">
        <v>0.9</v>
      </c>
      <c r="S256" s="8">
        <v>25.54</v>
      </c>
      <c r="T256" s="8">
        <v>0</v>
      </c>
      <c r="U256" s="8">
        <v>25.54</v>
      </c>
      <c r="V256" s="6" t="s">
        <v>121</v>
      </c>
      <c r="W256" s="6" t="s">
        <v>284</v>
      </c>
    </row>
    <row r="257" spans="1:23">
      <c r="A257" s="6">
        <v>254</v>
      </c>
      <c r="B257" s="7" t="s">
        <v>1330</v>
      </c>
      <c r="C257" s="7" t="s">
        <v>121</v>
      </c>
      <c r="D257" s="6" t="s">
        <v>22</v>
      </c>
      <c r="E257" s="6" t="s">
        <v>1331</v>
      </c>
      <c r="F257" s="6" t="s">
        <v>83</v>
      </c>
      <c r="G257" s="6" t="s">
        <v>409</v>
      </c>
      <c r="H257" s="7" t="s">
        <v>1332</v>
      </c>
      <c r="I257" s="6" t="s">
        <v>73</v>
      </c>
      <c r="J257" s="6" t="s">
        <v>87</v>
      </c>
      <c r="K257" s="6">
        <v>4000</v>
      </c>
      <c r="L257" s="6" t="s">
        <v>171</v>
      </c>
      <c r="M257" s="6" t="s">
        <v>10</v>
      </c>
      <c r="N257" s="6" t="s">
        <v>9</v>
      </c>
      <c r="O257" s="6" t="s">
        <v>27</v>
      </c>
      <c r="P257" s="6" t="s">
        <v>178</v>
      </c>
      <c r="Q257" s="6" t="s">
        <v>179</v>
      </c>
      <c r="R257" s="8">
        <v>26.7</v>
      </c>
      <c r="S257" s="8">
        <v>825.31</v>
      </c>
      <c r="T257" s="8">
        <v>31.96</v>
      </c>
      <c r="U257" s="8">
        <v>857.27</v>
      </c>
      <c r="V257" s="6" t="s">
        <v>1138</v>
      </c>
      <c r="W257" s="6" t="s">
        <v>257</v>
      </c>
    </row>
    <row r="258" spans="1:23">
      <c r="A258" s="6">
        <v>255</v>
      </c>
      <c r="B258" s="7" t="s">
        <v>1333</v>
      </c>
      <c r="C258" s="7" t="s">
        <v>121</v>
      </c>
      <c r="D258" s="6" t="s">
        <v>42</v>
      </c>
      <c r="E258" s="6" t="s">
        <v>1334</v>
      </c>
      <c r="F258" s="6" t="s">
        <v>70</v>
      </c>
      <c r="G258" s="6" t="s">
        <v>1308</v>
      </c>
      <c r="H258" s="7" t="s">
        <v>1335</v>
      </c>
      <c r="I258" s="6" t="s">
        <v>137</v>
      </c>
      <c r="J258" s="6" t="s">
        <v>74</v>
      </c>
      <c r="K258" s="6">
        <v>600</v>
      </c>
      <c r="L258" s="6" t="s">
        <v>327</v>
      </c>
      <c r="M258" s="6" t="s">
        <v>17</v>
      </c>
      <c r="N258" s="6" t="s">
        <v>9</v>
      </c>
      <c r="O258" s="6" t="s">
        <v>21</v>
      </c>
      <c r="P258" s="6" t="s">
        <v>192</v>
      </c>
      <c r="Q258" s="6" t="s">
        <v>129</v>
      </c>
      <c r="R258" s="8">
        <v>0</v>
      </c>
      <c r="S258" s="8">
        <v>0.44</v>
      </c>
      <c r="T258" s="8">
        <v>25.93</v>
      </c>
      <c r="U258" s="8">
        <v>26.37</v>
      </c>
      <c r="V258" s="6" t="s">
        <v>304</v>
      </c>
      <c r="W258" s="6" t="s">
        <v>444</v>
      </c>
    </row>
    <row r="259" spans="1:23">
      <c r="A259" s="6">
        <v>256</v>
      </c>
      <c r="B259" s="7" t="s">
        <v>1336</v>
      </c>
      <c r="C259" s="7" t="s">
        <v>1337</v>
      </c>
      <c r="D259" s="6" t="s">
        <v>22</v>
      </c>
      <c r="E259" s="6" t="s">
        <v>1338</v>
      </c>
      <c r="F259" s="6" t="s">
        <v>83</v>
      </c>
      <c r="G259" s="6" t="s">
        <v>1339</v>
      </c>
      <c r="H259" s="7" t="s">
        <v>1340</v>
      </c>
      <c r="I259" s="6" t="s">
        <v>137</v>
      </c>
      <c r="J259" s="6" t="s">
        <v>74</v>
      </c>
      <c r="K259" s="6">
        <v>400</v>
      </c>
      <c r="L259" s="6" t="s">
        <v>116</v>
      </c>
      <c r="M259" s="6" t="s">
        <v>8</v>
      </c>
      <c r="N259" s="6" t="s">
        <v>15</v>
      </c>
      <c r="O259" s="6" t="s">
        <v>127</v>
      </c>
      <c r="P259" s="6" t="s">
        <v>185</v>
      </c>
      <c r="Q259" s="6" t="s">
        <v>186</v>
      </c>
      <c r="R259" s="8">
        <v>0</v>
      </c>
      <c r="S259" s="8">
        <v>1.87</v>
      </c>
      <c r="T259" s="8">
        <v>0</v>
      </c>
      <c r="U259" s="8">
        <v>1.87</v>
      </c>
      <c r="V259" s="6" t="s">
        <v>121</v>
      </c>
      <c r="W259" s="6" t="s">
        <v>410</v>
      </c>
    </row>
    <row r="260" spans="1:23">
      <c r="A260" s="6">
        <v>257</v>
      </c>
      <c r="B260" s="7" t="s">
        <v>1341</v>
      </c>
      <c r="C260" s="7" t="s">
        <v>121</v>
      </c>
      <c r="D260" s="6" t="s">
        <v>22</v>
      </c>
      <c r="E260" s="6" t="s">
        <v>1342</v>
      </c>
      <c r="F260" s="6" t="s">
        <v>70</v>
      </c>
      <c r="G260" s="6" t="s">
        <v>601</v>
      </c>
      <c r="H260" s="7" t="s">
        <v>1343</v>
      </c>
      <c r="I260" s="6" t="s">
        <v>73</v>
      </c>
      <c r="J260" s="6" t="s">
        <v>74</v>
      </c>
      <c r="K260" s="6">
        <v>400</v>
      </c>
      <c r="L260" s="6" t="s">
        <v>163</v>
      </c>
      <c r="M260" s="6" t="s">
        <v>12</v>
      </c>
      <c r="N260" s="6" t="s">
        <v>13</v>
      </c>
      <c r="O260" s="6" t="s">
        <v>39</v>
      </c>
      <c r="P260" s="6" t="s">
        <v>248</v>
      </c>
      <c r="Q260" s="6" t="s">
        <v>249</v>
      </c>
      <c r="R260" s="8">
        <v>7.4</v>
      </c>
      <c r="S260" s="8">
        <v>189.06</v>
      </c>
      <c r="T260" s="8">
        <v>13.99</v>
      </c>
      <c r="U260" s="8">
        <v>203.05</v>
      </c>
      <c r="V260" s="6" t="s">
        <v>1228</v>
      </c>
      <c r="W260" s="6" t="s">
        <v>604</v>
      </c>
    </row>
    <row r="261" spans="1:23">
      <c r="A261" s="6">
        <v>258</v>
      </c>
      <c r="B261" s="7" t="s">
        <v>1344</v>
      </c>
      <c r="C261" s="7" t="s">
        <v>121</v>
      </c>
      <c r="D261" s="6" t="s">
        <v>34</v>
      </c>
      <c r="E261" s="6" t="s">
        <v>1345</v>
      </c>
      <c r="F261" s="6" t="s">
        <v>345</v>
      </c>
      <c r="G261" s="6" t="s">
        <v>1346</v>
      </c>
      <c r="H261" s="7" t="s">
        <v>1347</v>
      </c>
      <c r="I261" s="6" t="s">
        <v>396</v>
      </c>
      <c r="J261" s="6" t="s">
        <v>125</v>
      </c>
      <c r="K261" s="6">
        <v>60</v>
      </c>
      <c r="L261" s="6" t="s">
        <v>163</v>
      </c>
      <c r="M261" s="6" t="s">
        <v>10</v>
      </c>
      <c r="N261" s="6" t="s">
        <v>13</v>
      </c>
      <c r="O261" s="6" t="s">
        <v>35</v>
      </c>
      <c r="P261" s="6" t="s">
        <v>178</v>
      </c>
      <c r="Q261" s="6" t="s">
        <v>179</v>
      </c>
      <c r="R261" s="8">
        <v>0</v>
      </c>
      <c r="S261" s="8">
        <v>2.3199999999999998</v>
      </c>
      <c r="T261" s="8">
        <v>31.15</v>
      </c>
      <c r="U261" s="8">
        <v>33.47</v>
      </c>
      <c r="V261" s="6" t="s">
        <v>941</v>
      </c>
      <c r="W261" s="6" t="s">
        <v>151</v>
      </c>
    </row>
    <row r="262" spans="1:23">
      <c r="A262" s="6">
        <v>259</v>
      </c>
      <c r="B262" s="7" t="s">
        <v>1348</v>
      </c>
      <c r="C262" s="7" t="s">
        <v>121</v>
      </c>
      <c r="D262" s="6" t="s">
        <v>24</v>
      </c>
      <c r="E262" s="6" t="s">
        <v>1349</v>
      </c>
      <c r="F262" s="6" t="s">
        <v>83</v>
      </c>
      <c r="G262" s="6" t="s">
        <v>1350</v>
      </c>
      <c r="H262" s="7" t="s">
        <v>1351</v>
      </c>
      <c r="I262" s="6" t="s">
        <v>73</v>
      </c>
      <c r="J262" s="6" t="s">
        <v>125</v>
      </c>
      <c r="K262" s="6">
        <v>40</v>
      </c>
      <c r="L262" s="6" t="s">
        <v>267</v>
      </c>
      <c r="M262" s="6" t="s">
        <v>8</v>
      </c>
      <c r="N262" s="6" t="s">
        <v>9</v>
      </c>
      <c r="O262" s="6" t="s">
        <v>29</v>
      </c>
      <c r="P262" s="6" t="s">
        <v>200</v>
      </c>
      <c r="Q262" s="6" t="s">
        <v>129</v>
      </c>
      <c r="R262" s="8">
        <v>10.3</v>
      </c>
      <c r="S262" s="8">
        <v>398.34</v>
      </c>
      <c r="T262" s="8">
        <v>0</v>
      </c>
      <c r="U262" s="8">
        <v>398.34</v>
      </c>
      <c r="V262" s="6" t="s">
        <v>121</v>
      </c>
      <c r="W262" s="6" t="s">
        <v>91</v>
      </c>
    </row>
    <row r="263" spans="1:23">
      <c r="A263" s="6">
        <v>260</v>
      </c>
      <c r="B263" s="7" t="s">
        <v>1352</v>
      </c>
      <c r="C263" s="7" t="s">
        <v>121</v>
      </c>
      <c r="D263" s="6" t="s">
        <v>42</v>
      </c>
      <c r="E263" s="6" t="s">
        <v>1353</v>
      </c>
      <c r="F263" s="6" t="s">
        <v>83</v>
      </c>
      <c r="G263" s="6" t="s">
        <v>1303</v>
      </c>
      <c r="H263" s="7" t="s">
        <v>1354</v>
      </c>
      <c r="I263" s="6" t="s">
        <v>86</v>
      </c>
      <c r="J263" s="6" t="s">
        <v>125</v>
      </c>
      <c r="K263" s="6">
        <v>6</v>
      </c>
      <c r="L263" s="6" t="s">
        <v>107</v>
      </c>
      <c r="M263" s="6" t="s">
        <v>14</v>
      </c>
      <c r="N263" s="6" t="s">
        <v>9</v>
      </c>
      <c r="O263" s="6" t="s">
        <v>29</v>
      </c>
      <c r="P263" s="6" t="s">
        <v>277</v>
      </c>
      <c r="Q263" s="6" t="s">
        <v>149</v>
      </c>
      <c r="R263" s="8">
        <v>2.4</v>
      </c>
      <c r="S263" s="8">
        <v>80.2</v>
      </c>
      <c r="T263" s="8">
        <v>0</v>
      </c>
      <c r="U263" s="8">
        <v>80.2</v>
      </c>
      <c r="V263" s="6" t="s">
        <v>121</v>
      </c>
      <c r="W263" s="6" t="s">
        <v>110</v>
      </c>
    </row>
    <row r="264" spans="1:23" ht="22.35">
      <c r="A264" s="6">
        <v>261</v>
      </c>
      <c r="B264" s="7" t="s">
        <v>1355</v>
      </c>
      <c r="C264" s="7" t="s">
        <v>1356</v>
      </c>
      <c r="D264" s="6" t="s">
        <v>36</v>
      </c>
      <c r="E264" s="6" t="s">
        <v>1357</v>
      </c>
      <c r="F264" s="6" t="s">
        <v>83</v>
      </c>
      <c r="G264" s="6" t="s">
        <v>714</v>
      </c>
      <c r="H264" s="7" t="s">
        <v>1358</v>
      </c>
      <c r="I264" s="6" t="s">
        <v>73</v>
      </c>
      <c r="J264" s="6" t="s">
        <v>125</v>
      </c>
      <c r="K264" s="6">
        <v>6</v>
      </c>
      <c r="L264" s="6" t="s">
        <v>327</v>
      </c>
      <c r="M264" s="6" t="s">
        <v>16</v>
      </c>
      <c r="N264" s="6" t="s">
        <v>9</v>
      </c>
      <c r="O264" s="6" t="s">
        <v>29</v>
      </c>
      <c r="P264" s="6" t="s">
        <v>178</v>
      </c>
      <c r="Q264" s="6" t="s">
        <v>179</v>
      </c>
      <c r="R264" s="8">
        <v>11</v>
      </c>
      <c r="S264" s="8">
        <v>353.42</v>
      </c>
      <c r="T264" s="8">
        <v>0</v>
      </c>
      <c r="U264" s="8">
        <v>353.42</v>
      </c>
      <c r="V264" s="6" t="s">
        <v>121</v>
      </c>
      <c r="W264" s="6" t="s">
        <v>242</v>
      </c>
    </row>
    <row r="265" spans="1:23">
      <c r="A265" s="6">
        <v>262</v>
      </c>
      <c r="B265" s="7" t="s">
        <v>1359</v>
      </c>
      <c r="C265" s="7" t="s">
        <v>121</v>
      </c>
      <c r="D265" s="6" t="s">
        <v>38</v>
      </c>
      <c r="E265" s="6" t="s">
        <v>1360</v>
      </c>
      <c r="F265" s="6" t="s">
        <v>83</v>
      </c>
      <c r="G265" s="6" t="s">
        <v>1361</v>
      </c>
      <c r="H265" s="7" t="s">
        <v>1362</v>
      </c>
      <c r="I265" s="6" t="s">
        <v>86</v>
      </c>
      <c r="J265" s="6" t="s">
        <v>125</v>
      </c>
      <c r="K265" s="6">
        <v>60</v>
      </c>
      <c r="L265" s="6" t="s">
        <v>75</v>
      </c>
      <c r="M265" s="6" t="s">
        <v>17</v>
      </c>
      <c r="N265" s="6" t="s">
        <v>13</v>
      </c>
      <c r="O265" s="6" t="s">
        <v>39</v>
      </c>
      <c r="P265" s="6" t="s">
        <v>248</v>
      </c>
      <c r="Q265" s="6" t="s">
        <v>249</v>
      </c>
      <c r="R265" s="8">
        <v>6.7</v>
      </c>
      <c r="S265" s="8">
        <v>231.37</v>
      </c>
      <c r="T265" s="8">
        <v>30.57</v>
      </c>
      <c r="U265" s="8">
        <v>261.94</v>
      </c>
      <c r="V265" s="6" t="s">
        <v>1033</v>
      </c>
      <c r="W265" s="6" t="s">
        <v>410</v>
      </c>
    </row>
    <row r="266" spans="1:23">
      <c r="A266" s="6">
        <v>263</v>
      </c>
      <c r="B266" s="7" t="s">
        <v>1363</v>
      </c>
      <c r="C266" s="7" t="s">
        <v>1364</v>
      </c>
      <c r="D266" s="6" t="s">
        <v>32</v>
      </c>
      <c r="E266" s="6" t="s">
        <v>1365</v>
      </c>
      <c r="F266" s="6" t="s">
        <v>83</v>
      </c>
      <c r="G266" s="6" t="s">
        <v>1366</v>
      </c>
      <c r="H266" s="7" t="s">
        <v>1367</v>
      </c>
      <c r="I266" s="6" t="s">
        <v>86</v>
      </c>
      <c r="J266" s="6" t="s">
        <v>125</v>
      </c>
      <c r="K266" s="6">
        <v>60</v>
      </c>
      <c r="L266" s="6" t="s">
        <v>116</v>
      </c>
      <c r="M266" s="6" t="s">
        <v>8</v>
      </c>
      <c r="N266" s="6" t="s">
        <v>11</v>
      </c>
      <c r="O266" s="6" t="s">
        <v>43</v>
      </c>
      <c r="P266" s="6" t="s">
        <v>178</v>
      </c>
      <c r="Q266" s="6" t="s">
        <v>179</v>
      </c>
      <c r="R266" s="8">
        <v>15.6</v>
      </c>
      <c r="S266" s="8">
        <v>524.53</v>
      </c>
      <c r="T266" s="8">
        <v>0</v>
      </c>
      <c r="U266" s="8">
        <v>524.53</v>
      </c>
      <c r="V266" s="6" t="s">
        <v>121</v>
      </c>
      <c r="W266" s="6" t="s">
        <v>391</v>
      </c>
    </row>
    <row r="267" spans="1:23">
      <c r="A267" s="6">
        <v>264</v>
      </c>
      <c r="B267" s="7" t="s">
        <v>1368</v>
      </c>
      <c r="C267" s="7" t="s">
        <v>121</v>
      </c>
      <c r="D267" s="6" t="s">
        <v>30</v>
      </c>
      <c r="E267" s="6" t="s">
        <v>1369</v>
      </c>
      <c r="F267" s="6" t="s">
        <v>70</v>
      </c>
      <c r="G267" s="6" t="s">
        <v>1370</v>
      </c>
      <c r="H267" s="7" t="s">
        <v>1371</v>
      </c>
      <c r="I267" s="6" t="s">
        <v>585</v>
      </c>
      <c r="J267" s="6" t="s">
        <v>125</v>
      </c>
      <c r="K267" s="6">
        <v>6</v>
      </c>
      <c r="L267" s="6" t="s">
        <v>116</v>
      </c>
      <c r="M267" s="6" t="s">
        <v>12</v>
      </c>
      <c r="N267" s="6" t="s">
        <v>11</v>
      </c>
      <c r="O267" s="6" t="s">
        <v>33</v>
      </c>
      <c r="P267" s="6" t="s">
        <v>148</v>
      </c>
      <c r="Q267" s="6" t="s">
        <v>149</v>
      </c>
      <c r="R267" s="8">
        <v>0</v>
      </c>
      <c r="S267" s="8">
        <v>1.46</v>
      </c>
      <c r="T267" s="8">
        <v>43.44</v>
      </c>
      <c r="U267" s="8">
        <v>44.9</v>
      </c>
      <c r="V267" s="6" t="s">
        <v>1372</v>
      </c>
      <c r="W267" s="6" t="s">
        <v>348</v>
      </c>
    </row>
    <row r="268" spans="1:23">
      <c r="A268" s="6">
        <v>265</v>
      </c>
      <c r="B268" s="7" t="s">
        <v>1373</v>
      </c>
      <c r="C268" s="7" t="s">
        <v>121</v>
      </c>
      <c r="D268" s="6" t="s">
        <v>32</v>
      </c>
      <c r="E268" s="6" t="s">
        <v>1374</v>
      </c>
      <c r="F268" s="6" t="s">
        <v>70</v>
      </c>
      <c r="G268" s="6" t="s">
        <v>1375</v>
      </c>
      <c r="H268" s="7" t="s">
        <v>1376</v>
      </c>
      <c r="I268" s="6" t="s">
        <v>73</v>
      </c>
      <c r="J268" s="6" t="s">
        <v>125</v>
      </c>
      <c r="K268" s="6">
        <v>6</v>
      </c>
      <c r="L268" s="6" t="s">
        <v>241</v>
      </c>
      <c r="M268" s="6" t="s">
        <v>10</v>
      </c>
      <c r="N268" s="6" t="s">
        <v>15</v>
      </c>
      <c r="O268" s="6" t="s">
        <v>127</v>
      </c>
      <c r="P268" s="6" t="s">
        <v>192</v>
      </c>
      <c r="Q268" s="6" t="s">
        <v>129</v>
      </c>
      <c r="R268" s="8">
        <v>6.3</v>
      </c>
      <c r="S268" s="8">
        <v>91.89</v>
      </c>
      <c r="T268" s="8">
        <v>26.95</v>
      </c>
      <c r="U268" s="8">
        <v>118.84</v>
      </c>
      <c r="V268" s="6" t="s">
        <v>1377</v>
      </c>
      <c r="W268" s="6" t="s">
        <v>207</v>
      </c>
    </row>
    <row r="269" spans="1:23">
      <c r="A269" s="6">
        <v>266</v>
      </c>
      <c r="B269" s="7" t="s">
        <v>1378</v>
      </c>
      <c r="C269" s="7" t="s">
        <v>121</v>
      </c>
      <c r="D269" s="6" t="s">
        <v>20</v>
      </c>
      <c r="E269" s="6" t="s">
        <v>1379</v>
      </c>
      <c r="F269" s="6" t="s">
        <v>83</v>
      </c>
      <c r="G269" s="6" t="s">
        <v>1380</v>
      </c>
      <c r="H269" s="7" t="s">
        <v>1381</v>
      </c>
      <c r="I269" s="6" t="s">
        <v>86</v>
      </c>
      <c r="J269" s="6" t="s">
        <v>125</v>
      </c>
      <c r="K269" s="6">
        <v>6</v>
      </c>
      <c r="L269" s="6" t="s">
        <v>116</v>
      </c>
      <c r="M269" s="6" t="s">
        <v>8</v>
      </c>
      <c r="N269" s="6" t="s">
        <v>11</v>
      </c>
      <c r="O269" s="6" t="s">
        <v>41</v>
      </c>
      <c r="P269" s="6" t="s">
        <v>277</v>
      </c>
      <c r="Q269" s="6" t="s">
        <v>149</v>
      </c>
      <c r="R269" s="8">
        <v>2.2000000000000002</v>
      </c>
      <c r="S269" s="8">
        <v>53.4</v>
      </c>
      <c r="T269" s="8">
        <v>0</v>
      </c>
      <c r="U269" s="8">
        <v>53.4</v>
      </c>
      <c r="V269" s="6" t="s">
        <v>121</v>
      </c>
      <c r="W269" s="6" t="s">
        <v>511</v>
      </c>
    </row>
    <row r="270" spans="1:23">
      <c r="A270" s="6">
        <v>267</v>
      </c>
      <c r="B270" s="7" t="s">
        <v>1382</v>
      </c>
      <c r="C270" s="7" t="s">
        <v>1383</v>
      </c>
      <c r="D270" s="6" t="s">
        <v>26</v>
      </c>
      <c r="E270" s="6" t="s">
        <v>1384</v>
      </c>
      <c r="F270" s="6" t="s">
        <v>83</v>
      </c>
      <c r="G270" s="6" t="s">
        <v>1385</v>
      </c>
      <c r="H270" s="7" t="s">
        <v>1386</v>
      </c>
      <c r="I270" s="6" t="s">
        <v>86</v>
      </c>
      <c r="J270" s="6" t="s">
        <v>74</v>
      </c>
      <c r="K270" s="6">
        <v>200</v>
      </c>
      <c r="L270" s="6" t="s">
        <v>163</v>
      </c>
      <c r="M270" s="6" t="s">
        <v>8</v>
      </c>
      <c r="N270" s="6" t="s">
        <v>13</v>
      </c>
      <c r="O270" s="6" t="s">
        <v>425</v>
      </c>
      <c r="P270" s="6" t="s">
        <v>200</v>
      </c>
      <c r="Q270" s="6" t="s">
        <v>129</v>
      </c>
      <c r="R270" s="8">
        <v>3.3</v>
      </c>
      <c r="S270" s="8">
        <v>124.37</v>
      </c>
      <c r="T270" s="8">
        <v>0</v>
      </c>
      <c r="U270" s="8">
        <v>124.37</v>
      </c>
      <c r="V270" s="6" t="s">
        <v>121</v>
      </c>
      <c r="W270" s="6" t="s">
        <v>397</v>
      </c>
    </row>
    <row r="271" spans="1:23">
      <c r="A271" s="6">
        <v>268</v>
      </c>
      <c r="B271" s="7" t="s">
        <v>1387</v>
      </c>
      <c r="C271" s="7" t="s">
        <v>1388</v>
      </c>
      <c r="D271" s="6" t="s">
        <v>34</v>
      </c>
      <c r="E271" s="6" t="s">
        <v>1389</v>
      </c>
      <c r="F271" s="6" t="s">
        <v>83</v>
      </c>
      <c r="G271" s="6" t="s">
        <v>1026</v>
      </c>
      <c r="H271" s="7" t="s">
        <v>1390</v>
      </c>
      <c r="I271" s="6" t="s">
        <v>86</v>
      </c>
      <c r="J271" s="6" t="s">
        <v>125</v>
      </c>
      <c r="K271" s="6">
        <v>60</v>
      </c>
      <c r="L271" s="6" t="s">
        <v>163</v>
      </c>
      <c r="M271" s="6" t="s">
        <v>10</v>
      </c>
      <c r="N271" s="6" t="s">
        <v>9</v>
      </c>
      <c r="O271" s="6" t="s">
        <v>25</v>
      </c>
      <c r="P271" s="6" t="s">
        <v>256</v>
      </c>
      <c r="Q271" s="6" t="s">
        <v>149</v>
      </c>
      <c r="R271" s="8">
        <v>5.2</v>
      </c>
      <c r="S271" s="8">
        <v>98.11</v>
      </c>
      <c r="T271" s="8">
        <v>4.3099999999999996</v>
      </c>
      <c r="U271" s="8">
        <v>102.42</v>
      </c>
      <c r="V271" s="6" t="s">
        <v>1391</v>
      </c>
      <c r="W271" s="6" t="s">
        <v>119</v>
      </c>
    </row>
    <row r="272" spans="1:23">
      <c r="A272" s="6">
        <v>269</v>
      </c>
      <c r="B272" s="7" t="s">
        <v>1392</v>
      </c>
      <c r="C272" s="7" t="s">
        <v>1393</v>
      </c>
      <c r="D272" s="6" t="s">
        <v>22</v>
      </c>
      <c r="E272" s="6" t="s">
        <v>1394</v>
      </c>
      <c r="F272" s="6" t="s">
        <v>83</v>
      </c>
      <c r="G272" s="6" t="s">
        <v>1395</v>
      </c>
      <c r="H272" s="7" t="s">
        <v>1396</v>
      </c>
      <c r="I272" s="6" t="s">
        <v>73</v>
      </c>
      <c r="J272" s="6" t="s">
        <v>87</v>
      </c>
      <c r="K272" s="6">
        <v>2000</v>
      </c>
      <c r="L272" s="6" t="s">
        <v>107</v>
      </c>
      <c r="M272" s="6" t="s">
        <v>8</v>
      </c>
      <c r="N272" s="6" t="s">
        <v>15</v>
      </c>
      <c r="O272" s="6" t="s">
        <v>156</v>
      </c>
      <c r="P272" s="6" t="s">
        <v>192</v>
      </c>
      <c r="Q272" s="6" t="s">
        <v>129</v>
      </c>
      <c r="R272" s="8">
        <v>3.6</v>
      </c>
      <c r="S272" s="8">
        <v>140.66999999999999</v>
      </c>
      <c r="T272" s="8">
        <v>0</v>
      </c>
      <c r="U272" s="8">
        <v>140.66999999999999</v>
      </c>
      <c r="V272" s="6" t="s">
        <v>121</v>
      </c>
      <c r="W272" s="6" t="s">
        <v>207</v>
      </c>
    </row>
    <row r="273" spans="1:23">
      <c r="A273" s="6">
        <v>270</v>
      </c>
      <c r="B273" s="7" t="s">
        <v>1397</v>
      </c>
      <c r="C273" s="7" t="s">
        <v>121</v>
      </c>
      <c r="D273" s="6" t="s">
        <v>28</v>
      </c>
      <c r="E273" s="6" t="s">
        <v>1398</v>
      </c>
      <c r="F273" s="6" t="s">
        <v>83</v>
      </c>
      <c r="G273" s="6" t="s">
        <v>325</v>
      </c>
      <c r="H273" s="7" t="s">
        <v>1399</v>
      </c>
      <c r="I273" s="6" t="s">
        <v>73</v>
      </c>
      <c r="J273" s="6" t="s">
        <v>74</v>
      </c>
      <c r="K273" s="6">
        <v>400</v>
      </c>
      <c r="L273" s="6" t="s">
        <v>75</v>
      </c>
      <c r="M273" s="6" t="s">
        <v>8</v>
      </c>
      <c r="N273" s="6" t="s">
        <v>9</v>
      </c>
      <c r="O273" s="6" t="s">
        <v>29</v>
      </c>
      <c r="P273" s="6" t="s">
        <v>99</v>
      </c>
      <c r="Q273" s="6" t="s">
        <v>139</v>
      </c>
      <c r="R273" s="8">
        <v>4.0999999999999996</v>
      </c>
      <c r="S273" s="8">
        <v>59.06</v>
      </c>
      <c r="T273" s="8">
        <v>0</v>
      </c>
      <c r="U273" s="8">
        <v>59.06</v>
      </c>
      <c r="V273" s="6" t="s">
        <v>121</v>
      </c>
      <c r="W273" s="6" t="s">
        <v>141</v>
      </c>
    </row>
    <row r="274" spans="1:23">
      <c r="A274" s="6">
        <v>271</v>
      </c>
      <c r="B274" s="7" t="s">
        <v>1400</v>
      </c>
      <c r="C274" s="7" t="s">
        <v>1401</v>
      </c>
      <c r="D274" s="6" t="s">
        <v>34</v>
      </c>
      <c r="E274" s="6" t="s">
        <v>1402</v>
      </c>
      <c r="F274" s="6" t="s">
        <v>83</v>
      </c>
      <c r="G274" s="6" t="s">
        <v>1403</v>
      </c>
      <c r="H274" s="7" t="s">
        <v>1404</v>
      </c>
      <c r="I274" s="6" t="s">
        <v>86</v>
      </c>
      <c r="J274" s="6" t="s">
        <v>87</v>
      </c>
      <c r="K274" s="6">
        <v>2000</v>
      </c>
      <c r="L274" s="6" t="s">
        <v>75</v>
      </c>
      <c r="M274" s="6" t="s">
        <v>10</v>
      </c>
      <c r="N274" s="6" t="s">
        <v>11</v>
      </c>
      <c r="O274" s="6" t="s">
        <v>31</v>
      </c>
      <c r="P274" s="6" t="s">
        <v>117</v>
      </c>
      <c r="Q274" s="6" t="s">
        <v>426</v>
      </c>
      <c r="R274" s="8">
        <v>9.6999999999999993</v>
      </c>
      <c r="S274" s="8">
        <v>443.01</v>
      </c>
      <c r="T274" s="8">
        <v>43.78</v>
      </c>
      <c r="U274" s="8">
        <v>486.79</v>
      </c>
      <c r="V274" s="6" t="s">
        <v>1405</v>
      </c>
      <c r="W274" s="6" t="s">
        <v>79</v>
      </c>
    </row>
    <row r="275" spans="1:23">
      <c r="A275" s="6">
        <v>272</v>
      </c>
      <c r="B275" s="7" t="s">
        <v>1406</v>
      </c>
      <c r="C275" s="7" t="s">
        <v>121</v>
      </c>
      <c r="D275" s="6" t="s">
        <v>20</v>
      </c>
      <c r="E275" s="6" t="s">
        <v>1407</v>
      </c>
      <c r="F275" s="6" t="s">
        <v>70</v>
      </c>
      <c r="G275" s="6" t="s">
        <v>987</v>
      </c>
      <c r="H275" s="7" t="s">
        <v>1408</v>
      </c>
      <c r="I275" s="6" t="s">
        <v>73</v>
      </c>
      <c r="J275" s="6" t="s">
        <v>74</v>
      </c>
      <c r="K275" s="6">
        <v>200</v>
      </c>
      <c r="L275" s="6" t="s">
        <v>218</v>
      </c>
      <c r="M275" s="6" t="s">
        <v>10</v>
      </c>
      <c r="N275" s="6" t="s">
        <v>11</v>
      </c>
      <c r="O275" s="6" t="s">
        <v>41</v>
      </c>
      <c r="P275" s="6" t="s">
        <v>433</v>
      </c>
      <c r="Q275" s="6" t="s">
        <v>434</v>
      </c>
      <c r="R275" s="8">
        <v>13.6</v>
      </c>
      <c r="S275" s="8">
        <v>507.96</v>
      </c>
      <c r="T275" s="8">
        <v>38.94</v>
      </c>
      <c r="U275" s="8">
        <v>546.9</v>
      </c>
      <c r="V275" s="6" t="s">
        <v>346</v>
      </c>
      <c r="W275" s="6" t="s">
        <v>368</v>
      </c>
    </row>
    <row r="276" spans="1:23">
      <c r="A276" s="6">
        <v>273</v>
      </c>
      <c r="B276" s="7" t="s">
        <v>1409</v>
      </c>
      <c r="C276" s="7" t="s">
        <v>121</v>
      </c>
      <c r="D276" s="6" t="s">
        <v>24</v>
      </c>
      <c r="E276" s="6" t="s">
        <v>1410</v>
      </c>
      <c r="F276" s="6" t="s">
        <v>83</v>
      </c>
      <c r="G276" s="6" t="s">
        <v>283</v>
      </c>
      <c r="H276" s="7" t="s">
        <v>1411</v>
      </c>
      <c r="I276" s="6" t="s">
        <v>137</v>
      </c>
      <c r="J276" s="6" t="s">
        <v>87</v>
      </c>
      <c r="K276" s="6">
        <v>4000</v>
      </c>
      <c r="L276" s="6" t="s">
        <v>126</v>
      </c>
      <c r="M276" s="6" t="s">
        <v>12</v>
      </c>
      <c r="N276" s="6" t="s">
        <v>11</v>
      </c>
      <c r="O276" s="6" t="s">
        <v>33</v>
      </c>
      <c r="P276" s="6" t="s">
        <v>148</v>
      </c>
      <c r="Q276" s="6" t="s">
        <v>149</v>
      </c>
      <c r="R276" s="8">
        <v>0</v>
      </c>
      <c r="S276" s="8">
        <v>2.72</v>
      </c>
      <c r="T276" s="8">
        <v>44.01</v>
      </c>
      <c r="U276" s="8">
        <v>46.73</v>
      </c>
      <c r="V276" s="6" t="s">
        <v>562</v>
      </c>
      <c r="W276" s="6" t="s">
        <v>79</v>
      </c>
    </row>
    <row r="277" spans="1:23">
      <c r="A277" s="6">
        <v>274</v>
      </c>
      <c r="B277" s="7" t="s">
        <v>1412</v>
      </c>
      <c r="C277" s="7" t="s">
        <v>121</v>
      </c>
      <c r="D277" s="6" t="s">
        <v>30</v>
      </c>
      <c r="E277" s="6" t="s">
        <v>1413</v>
      </c>
      <c r="F277" s="6" t="s">
        <v>70</v>
      </c>
      <c r="G277" s="6" t="s">
        <v>1414</v>
      </c>
      <c r="H277" s="7" t="s">
        <v>1415</v>
      </c>
      <c r="I277" s="6" t="s">
        <v>147</v>
      </c>
      <c r="J277" s="6" t="s">
        <v>125</v>
      </c>
      <c r="K277" s="6">
        <v>40</v>
      </c>
      <c r="L277" s="6" t="s">
        <v>218</v>
      </c>
      <c r="M277" s="6" t="s">
        <v>8</v>
      </c>
      <c r="N277" s="6" t="s">
        <v>11</v>
      </c>
      <c r="O277" s="6" t="s">
        <v>41</v>
      </c>
      <c r="P277" s="6" t="s">
        <v>117</v>
      </c>
      <c r="Q277" s="6" t="s">
        <v>426</v>
      </c>
      <c r="R277" s="8">
        <v>7.1</v>
      </c>
      <c r="S277" s="8">
        <v>162.58000000000001</v>
      </c>
      <c r="T277" s="8">
        <v>0</v>
      </c>
      <c r="U277" s="8">
        <v>162.58000000000001</v>
      </c>
      <c r="V277" s="6" t="s">
        <v>121</v>
      </c>
      <c r="W277" s="6" t="s">
        <v>604</v>
      </c>
    </row>
    <row r="278" spans="1:23" ht="22.35">
      <c r="A278" s="6">
        <v>275</v>
      </c>
      <c r="B278" s="7" t="s">
        <v>1416</v>
      </c>
      <c r="C278" s="7" t="s">
        <v>1417</v>
      </c>
      <c r="D278" s="6" t="s">
        <v>26</v>
      </c>
      <c r="E278" s="6" t="s">
        <v>1418</v>
      </c>
      <c r="F278" s="6" t="s">
        <v>83</v>
      </c>
      <c r="G278" s="6" t="s">
        <v>861</v>
      </c>
      <c r="H278" s="7" t="s">
        <v>1419</v>
      </c>
      <c r="I278" s="6" t="s">
        <v>147</v>
      </c>
      <c r="J278" s="6" t="s">
        <v>125</v>
      </c>
      <c r="K278" s="6">
        <v>60</v>
      </c>
      <c r="L278" s="6" t="s">
        <v>171</v>
      </c>
      <c r="M278" s="6" t="s">
        <v>16</v>
      </c>
      <c r="N278" s="6" t="s">
        <v>11</v>
      </c>
      <c r="O278" s="6" t="s">
        <v>43</v>
      </c>
      <c r="P278" s="6" t="s">
        <v>192</v>
      </c>
      <c r="Q278" s="6" t="s">
        <v>129</v>
      </c>
      <c r="R278" s="8">
        <v>8.1</v>
      </c>
      <c r="S278" s="8">
        <v>363.97</v>
      </c>
      <c r="T278" s="8">
        <v>0</v>
      </c>
      <c r="U278" s="8">
        <v>363.97</v>
      </c>
      <c r="V278" s="6" t="s">
        <v>121</v>
      </c>
      <c r="W278" s="6" t="s">
        <v>242</v>
      </c>
    </row>
    <row r="279" spans="1:23" ht="22.35">
      <c r="A279" s="6">
        <v>276</v>
      </c>
      <c r="B279" s="7" t="s">
        <v>1420</v>
      </c>
      <c r="C279" s="7" t="s">
        <v>1421</v>
      </c>
      <c r="D279" s="6" t="s">
        <v>30</v>
      </c>
      <c r="E279" s="6" t="s">
        <v>1422</v>
      </c>
      <c r="F279" s="6" t="s">
        <v>83</v>
      </c>
      <c r="G279" s="6" t="s">
        <v>776</v>
      </c>
      <c r="H279" s="7" t="s">
        <v>1423</v>
      </c>
      <c r="I279" s="6" t="s">
        <v>73</v>
      </c>
      <c r="J279" s="6" t="s">
        <v>74</v>
      </c>
      <c r="K279" s="6">
        <v>600</v>
      </c>
      <c r="L279" s="6" t="s">
        <v>97</v>
      </c>
      <c r="M279" s="6" t="s">
        <v>16</v>
      </c>
      <c r="N279" s="6" t="s">
        <v>13</v>
      </c>
      <c r="O279" s="6" t="s">
        <v>425</v>
      </c>
      <c r="P279" s="6" t="s">
        <v>117</v>
      </c>
      <c r="Q279" s="6" t="s">
        <v>426</v>
      </c>
      <c r="R279" s="8">
        <v>2.7</v>
      </c>
      <c r="S279" s="8">
        <v>50.72</v>
      </c>
      <c r="T279" s="8">
        <v>0</v>
      </c>
      <c r="U279" s="8">
        <v>50.72</v>
      </c>
      <c r="V279" s="6" t="s">
        <v>121</v>
      </c>
      <c r="W279" s="6" t="s">
        <v>460</v>
      </c>
    </row>
    <row r="280" spans="1:23">
      <c r="A280" s="6">
        <v>277</v>
      </c>
      <c r="B280" s="7" t="s">
        <v>1424</v>
      </c>
      <c r="C280" s="7" t="s">
        <v>1425</v>
      </c>
      <c r="D280" s="6" t="s">
        <v>20</v>
      </c>
      <c r="E280" s="6" t="s">
        <v>1426</v>
      </c>
      <c r="F280" s="6" t="s">
        <v>83</v>
      </c>
      <c r="G280" s="6" t="s">
        <v>1427</v>
      </c>
      <c r="H280" s="7" t="s">
        <v>1428</v>
      </c>
      <c r="I280" s="6" t="s">
        <v>137</v>
      </c>
      <c r="J280" s="6" t="s">
        <v>125</v>
      </c>
      <c r="K280" s="6">
        <v>6</v>
      </c>
      <c r="L280" s="6" t="s">
        <v>97</v>
      </c>
      <c r="M280" s="6" t="s">
        <v>10</v>
      </c>
      <c r="N280" s="6" t="s">
        <v>13</v>
      </c>
      <c r="O280" s="6" t="s">
        <v>37</v>
      </c>
      <c r="P280" s="6" t="s">
        <v>256</v>
      </c>
      <c r="Q280" s="6" t="s">
        <v>149</v>
      </c>
      <c r="R280" s="8">
        <v>0</v>
      </c>
      <c r="S280" s="8">
        <v>4.22</v>
      </c>
      <c r="T280" s="8">
        <v>42.75</v>
      </c>
      <c r="U280" s="8">
        <v>46.97</v>
      </c>
      <c r="V280" s="6" t="s">
        <v>1308</v>
      </c>
      <c r="W280" s="6" t="s">
        <v>151</v>
      </c>
    </row>
    <row r="281" spans="1:23">
      <c r="A281" s="6">
        <v>278</v>
      </c>
      <c r="B281" s="7" t="s">
        <v>1429</v>
      </c>
      <c r="C281" s="7" t="s">
        <v>121</v>
      </c>
      <c r="D281" s="6" t="s">
        <v>20</v>
      </c>
      <c r="E281" s="6" t="s">
        <v>1430</v>
      </c>
      <c r="F281" s="6" t="s">
        <v>70</v>
      </c>
      <c r="G281" s="6" t="s">
        <v>1431</v>
      </c>
      <c r="H281" s="7" t="s">
        <v>1432</v>
      </c>
      <c r="I281" s="6" t="s">
        <v>73</v>
      </c>
      <c r="J281" s="6" t="s">
        <v>125</v>
      </c>
      <c r="K281" s="6">
        <v>60</v>
      </c>
      <c r="L281" s="6" t="s">
        <v>171</v>
      </c>
      <c r="M281" s="6" t="s">
        <v>17</v>
      </c>
      <c r="N281" s="6" t="s">
        <v>13</v>
      </c>
      <c r="O281" s="6" t="s">
        <v>425</v>
      </c>
      <c r="P281" s="6" t="s">
        <v>277</v>
      </c>
      <c r="Q281" s="6" t="s">
        <v>149</v>
      </c>
      <c r="R281" s="8">
        <v>4.9000000000000004</v>
      </c>
      <c r="S281" s="8">
        <v>173.77</v>
      </c>
      <c r="T281" s="8">
        <v>29.04</v>
      </c>
      <c r="U281" s="8">
        <v>202.81</v>
      </c>
      <c r="V281" s="6" t="s">
        <v>1433</v>
      </c>
      <c r="W281" s="6" t="s">
        <v>397</v>
      </c>
    </row>
    <row r="282" spans="1:23">
      <c r="A282" s="6">
        <v>279</v>
      </c>
      <c r="B282" s="7" t="s">
        <v>1434</v>
      </c>
      <c r="C282" s="7" t="s">
        <v>121</v>
      </c>
      <c r="D282" s="6" t="s">
        <v>26</v>
      </c>
      <c r="E282" s="6" t="s">
        <v>1435</v>
      </c>
      <c r="F282" s="6" t="s">
        <v>70</v>
      </c>
      <c r="G282" s="6" t="s">
        <v>1436</v>
      </c>
      <c r="H282" s="7" t="s">
        <v>1437</v>
      </c>
      <c r="I282" s="6" t="s">
        <v>73</v>
      </c>
      <c r="J282" s="6" t="s">
        <v>74</v>
      </c>
      <c r="K282" s="6">
        <v>400</v>
      </c>
      <c r="L282" s="6" t="s">
        <v>218</v>
      </c>
      <c r="M282" s="6" t="s">
        <v>12</v>
      </c>
      <c r="N282" s="6" t="s">
        <v>15</v>
      </c>
      <c r="O282" s="6" t="s">
        <v>127</v>
      </c>
      <c r="P282" s="6" t="s">
        <v>256</v>
      </c>
      <c r="Q282" s="6" t="s">
        <v>149</v>
      </c>
      <c r="R282" s="8">
        <v>20.9</v>
      </c>
      <c r="S282" s="8">
        <v>327.08999999999997</v>
      </c>
      <c r="T282" s="8">
        <v>25.85</v>
      </c>
      <c r="U282" s="8">
        <v>352.94</v>
      </c>
      <c r="V282" s="6" t="s">
        <v>1438</v>
      </c>
      <c r="W282" s="6" t="s">
        <v>151</v>
      </c>
    </row>
    <row r="283" spans="1:23">
      <c r="A283" s="6">
        <v>280</v>
      </c>
      <c r="B283" s="7" t="s">
        <v>1439</v>
      </c>
      <c r="C283" s="7" t="s">
        <v>121</v>
      </c>
      <c r="D283" s="6" t="s">
        <v>20</v>
      </c>
      <c r="E283" s="6" t="s">
        <v>1440</v>
      </c>
      <c r="F283" s="6" t="s">
        <v>70</v>
      </c>
      <c r="G283" s="6" t="s">
        <v>1441</v>
      </c>
      <c r="H283" s="7" t="s">
        <v>1442</v>
      </c>
      <c r="I283" s="6" t="s">
        <v>86</v>
      </c>
      <c r="J283" s="6" t="s">
        <v>74</v>
      </c>
      <c r="K283" s="6">
        <v>600</v>
      </c>
      <c r="L283" s="6" t="s">
        <v>107</v>
      </c>
      <c r="M283" s="6" t="s">
        <v>8</v>
      </c>
      <c r="N283" s="6" t="s">
        <v>15</v>
      </c>
      <c r="O283" s="6" t="s">
        <v>156</v>
      </c>
      <c r="P283" s="6" t="s">
        <v>192</v>
      </c>
      <c r="Q283" s="6" t="s">
        <v>129</v>
      </c>
      <c r="R283" s="8">
        <v>6</v>
      </c>
      <c r="S283" s="8">
        <v>97.86</v>
      </c>
      <c r="T283" s="8">
        <v>0</v>
      </c>
      <c r="U283" s="8">
        <v>97.86</v>
      </c>
      <c r="V283" s="6" t="s">
        <v>121</v>
      </c>
      <c r="W283" s="6" t="s">
        <v>110</v>
      </c>
    </row>
    <row r="284" spans="1:23">
      <c r="A284" s="6">
        <v>281</v>
      </c>
      <c r="B284" s="7" t="s">
        <v>1443</v>
      </c>
      <c r="C284" s="7" t="s">
        <v>1444</v>
      </c>
      <c r="D284" s="6" t="s">
        <v>28</v>
      </c>
      <c r="E284" s="6" t="s">
        <v>1445</v>
      </c>
      <c r="F284" s="6" t="s">
        <v>83</v>
      </c>
      <c r="G284" s="6" t="s">
        <v>1446</v>
      </c>
      <c r="H284" s="7" t="s">
        <v>1447</v>
      </c>
      <c r="I284" s="6" t="s">
        <v>86</v>
      </c>
      <c r="J284" s="6" t="s">
        <v>125</v>
      </c>
      <c r="K284" s="6">
        <v>40</v>
      </c>
      <c r="L284" s="6" t="s">
        <v>126</v>
      </c>
      <c r="M284" s="6" t="s">
        <v>10</v>
      </c>
      <c r="N284" s="6" t="s">
        <v>9</v>
      </c>
      <c r="O284" s="6" t="s">
        <v>33</v>
      </c>
      <c r="P284" s="6" t="s">
        <v>108</v>
      </c>
      <c r="Q284" s="6" t="s">
        <v>206</v>
      </c>
      <c r="R284" s="8">
        <v>9.1</v>
      </c>
      <c r="S284" s="8">
        <v>250.26</v>
      </c>
      <c r="T284" s="8">
        <v>36.26</v>
      </c>
      <c r="U284" s="8">
        <v>286.52</v>
      </c>
      <c r="V284" s="6" t="s">
        <v>1448</v>
      </c>
      <c r="W284" s="6" t="s">
        <v>348</v>
      </c>
    </row>
    <row r="285" spans="1:23">
      <c r="A285" s="6">
        <v>282</v>
      </c>
      <c r="B285" s="7" t="s">
        <v>1449</v>
      </c>
      <c r="C285" s="7" t="s">
        <v>121</v>
      </c>
      <c r="D285" s="6" t="s">
        <v>32</v>
      </c>
      <c r="E285" s="6" t="s">
        <v>1450</v>
      </c>
      <c r="F285" s="6" t="s">
        <v>83</v>
      </c>
      <c r="G285" s="6" t="s">
        <v>1037</v>
      </c>
      <c r="H285" s="7" t="s">
        <v>1451</v>
      </c>
      <c r="I285" s="6" t="s">
        <v>137</v>
      </c>
      <c r="J285" s="6" t="s">
        <v>125</v>
      </c>
      <c r="K285" s="6">
        <v>40</v>
      </c>
      <c r="L285" s="6" t="s">
        <v>116</v>
      </c>
      <c r="M285" s="6" t="s">
        <v>14</v>
      </c>
      <c r="N285" s="6" t="s">
        <v>11</v>
      </c>
      <c r="O285" s="6" t="s">
        <v>33</v>
      </c>
      <c r="P285" s="6" t="s">
        <v>192</v>
      </c>
      <c r="Q285" s="6" t="s">
        <v>158</v>
      </c>
      <c r="R285" s="8">
        <v>0</v>
      </c>
      <c r="S285" s="8">
        <v>1.84</v>
      </c>
      <c r="T285" s="8">
        <v>0</v>
      </c>
      <c r="U285" s="8">
        <v>1.84</v>
      </c>
      <c r="V285" s="6" t="s">
        <v>121</v>
      </c>
      <c r="W285" s="6" t="s">
        <v>460</v>
      </c>
    </row>
    <row r="286" spans="1:23">
      <c r="A286" s="6">
        <v>283</v>
      </c>
      <c r="B286" s="7" t="s">
        <v>1452</v>
      </c>
      <c r="C286" s="7" t="s">
        <v>1453</v>
      </c>
      <c r="D286" s="6" t="s">
        <v>20</v>
      </c>
      <c r="E286" s="6" t="s">
        <v>1454</v>
      </c>
      <c r="F286" s="6" t="s">
        <v>83</v>
      </c>
      <c r="G286" s="6" t="s">
        <v>1455</v>
      </c>
      <c r="H286" s="7" t="s">
        <v>1456</v>
      </c>
      <c r="I286" s="6" t="s">
        <v>73</v>
      </c>
      <c r="J286" s="6" t="s">
        <v>125</v>
      </c>
      <c r="K286" s="6">
        <v>6</v>
      </c>
      <c r="L286" s="6" t="s">
        <v>267</v>
      </c>
      <c r="M286" s="6" t="s">
        <v>12</v>
      </c>
      <c r="N286" s="6" t="s">
        <v>9</v>
      </c>
      <c r="O286" s="6" t="s">
        <v>25</v>
      </c>
      <c r="P286" s="6" t="s">
        <v>157</v>
      </c>
      <c r="Q286" s="6" t="s">
        <v>158</v>
      </c>
      <c r="R286" s="8">
        <v>15.5</v>
      </c>
      <c r="S286" s="8">
        <v>231</v>
      </c>
      <c r="T286" s="8">
        <v>1.32</v>
      </c>
      <c r="U286" s="8">
        <v>232.32</v>
      </c>
      <c r="V286" s="6" t="s">
        <v>325</v>
      </c>
      <c r="W286" s="6" t="s">
        <v>444</v>
      </c>
    </row>
    <row r="287" spans="1:23">
      <c r="A287" s="6">
        <v>284</v>
      </c>
      <c r="B287" s="7" t="s">
        <v>1457</v>
      </c>
      <c r="C287" s="7" t="s">
        <v>121</v>
      </c>
      <c r="D287" s="6" t="s">
        <v>28</v>
      </c>
      <c r="E287" s="6" t="s">
        <v>1458</v>
      </c>
      <c r="F287" s="6" t="s">
        <v>83</v>
      </c>
      <c r="G287" s="6" t="s">
        <v>1459</v>
      </c>
      <c r="H287" s="7" t="s">
        <v>1460</v>
      </c>
      <c r="I287" s="6" t="s">
        <v>86</v>
      </c>
      <c r="J287" s="6" t="s">
        <v>74</v>
      </c>
      <c r="K287" s="6">
        <v>400</v>
      </c>
      <c r="L287" s="6" t="s">
        <v>218</v>
      </c>
      <c r="M287" s="6" t="s">
        <v>8</v>
      </c>
      <c r="N287" s="6" t="s">
        <v>11</v>
      </c>
      <c r="O287" s="6" t="s">
        <v>43</v>
      </c>
      <c r="P287" s="6" t="s">
        <v>99</v>
      </c>
      <c r="Q287" s="6" t="s">
        <v>139</v>
      </c>
      <c r="R287" s="8">
        <v>1.6</v>
      </c>
      <c r="S287" s="8">
        <v>67.989999999999995</v>
      </c>
      <c r="T287" s="8">
        <v>0</v>
      </c>
      <c r="U287" s="8">
        <v>67.989999999999995</v>
      </c>
      <c r="V287" s="6" t="s">
        <v>121</v>
      </c>
      <c r="W287" s="6" t="s">
        <v>79</v>
      </c>
    </row>
    <row r="288" spans="1:23">
      <c r="A288" s="6">
        <v>285</v>
      </c>
      <c r="B288" s="7" t="s">
        <v>1461</v>
      </c>
      <c r="C288" s="7" t="s">
        <v>1462</v>
      </c>
      <c r="D288" s="6" t="s">
        <v>22</v>
      </c>
      <c r="E288" s="6" t="s">
        <v>1463</v>
      </c>
      <c r="F288" s="6" t="s">
        <v>83</v>
      </c>
      <c r="G288" s="6" t="s">
        <v>1464</v>
      </c>
      <c r="H288" s="7" t="s">
        <v>1465</v>
      </c>
      <c r="I288" s="6" t="s">
        <v>147</v>
      </c>
      <c r="J288" s="6" t="s">
        <v>125</v>
      </c>
      <c r="K288" s="6">
        <v>40</v>
      </c>
      <c r="L288" s="6" t="s">
        <v>107</v>
      </c>
      <c r="M288" s="6" t="s">
        <v>8</v>
      </c>
      <c r="N288" s="6" t="s">
        <v>11</v>
      </c>
      <c r="O288" s="6" t="s">
        <v>33</v>
      </c>
      <c r="P288" s="6" t="s">
        <v>192</v>
      </c>
      <c r="Q288" s="6" t="s">
        <v>158</v>
      </c>
      <c r="R288" s="8">
        <v>10.199999999999999</v>
      </c>
      <c r="S288" s="8">
        <v>299.8</v>
      </c>
      <c r="T288" s="8">
        <v>0</v>
      </c>
      <c r="U288" s="8">
        <v>299.8</v>
      </c>
      <c r="V288" s="6" t="s">
        <v>121</v>
      </c>
      <c r="W288" s="6" t="s">
        <v>131</v>
      </c>
    </row>
    <row r="289" spans="1:23">
      <c r="A289" s="6">
        <v>286</v>
      </c>
      <c r="B289" s="7" t="s">
        <v>1466</v>
      </c>
      <c r="C289" s="7" t="s">
        <v>1467</v>
      </c>
      <c r="D289" s="6" t="s">
        <v>24</v>
      </c>
      <c r="E289" s="6" t="s">
        <v>1468</v>
      </c>
      <c r="F289" s="6" t="s">
        <v>83</v>
      </c>
      <c r="G289" s="6" t="s">
        <v>1469</v>
      </c>
      <c r="H289" s="7" t="s">
        <v>1470</v>
      </c>
      <c r="I289" s="6" t="s">
        <v>73</v>
      </c>
      <c r="J289" s="6" t="s">
        <v>125</v>
      </c>
      <c r="K289" s="6">
        <v>40</v>
      </c>
      <c r="L289" s="6" t="s">
        <v>75</v>
      </c>
      <c r="M289" s="6" t="s">
        <v>8</v>
      </c>
      <c r="N289" s="6" t="s">
        <v>13</v>
      </c>
      <c r="O289" s="6" t="s">
        <v>35</v>
      </c>
      <c r="P289" s="6" t="s">
        <v>108</v>
      </c>
      <c r="Q289" s="6" t="s">
        <v>206</v>
      </c>
      <c r="R289" s="8">
        <v>13.6</v>
      </c>
      <c r="S289" s="8">
        <v>522.62</v>
      </c>
      <c r="T289" s="8">
        <v>0</v>
      </c>
      <c r="U289" s="8">
        <v>522.62</v>
      </c>
      <c r="V289" s="6" t="s">
        <v>121</v>
      </c>
      <c r="W289" s="6" t="s">
        <v>101</v>
      </c>
    </row>
    <row r="290" spans="1:23">
      <c r="A290" s="6">
        <v>287</v>
      </c>
      <c r="B290" s="7" t="s">
        <v>1471</v>
      </c>
      <c r="C290" s="7" t="s">
        <v>121</v>
      </c>
      <c r="D290" s="6" t="s">
        <v>26</v>
      </c>
      <c r="E290" s="6" t="s">
        <v>1472</v>
      </c>
      <c r="F290" s="6" t="s">
        <v>70</v>
      </c>
      <c r="G290" s="6" t="s">
        <v>1473</v>
      </c>
      <c r="H290" s="7" t="s">
        <v>1474</v>
      </c>
      <c r="I290" s="6" t="s">
        <v>147</v>
      </c>
      <c r="J290" s="6" t="s">
        <v>125</v>
      </c>
      <c r="K290" s="6">
        <v>40</v>
      </c>
      <c r="L290" s="6" t="s">
        <v>171</v>
      </c>
      <c r="M290" s="6" t="s">
        <v>8</v>
      </c>
      <c r="N290" s="6" t="s">
        <v>11</v>
      </c>
      <c r="O290" s="6" t="s">
        <v>33</v>
      </c>
      <c r="P290" s="6" t="s">
        <v>256</v>
      </c>
      <c r="Q290" s="6" t="s">
        <v>149</v>
      </c>
      <c r="R290" s="8">
        <v>1.7</v>
      </c>
      <c r="S290" s="8">
        <v>78.81</v>
      </c>
      <c r="T290" s="8">
        <v>0</v>
      </c>
      <c r="U290" s="8">
        <v>78.81</v>
      </c>
      <c r="V290" s="6" t="s">
        <v>121</v>
      </c>
      <c r="W290" s="6" t="s">
        <v>257</v>
      </c>
    </row>
    <row r="291" spans="1:23">
      <c r="A291" s="6">
        <v>288</v>
      </c>
      <c r="B291" s="7" t="s">
        <v>1475</v>
      </c>
      <c r="C291" s="7" t="s">
        <v>121</v>
      </c>
      <c r="D291" s="6" t="s">
        <v>20</v>
      </c>
      <c r="E291" s="6" t="s">
        <v>1476</v>
      </c>
      <c r="F291" s="6" t="s">
        <v>70</v>
      </c>
      <c r="G291" s="6" t="s">
        <v>1257</v>
      </c>
      <c r="H291" s="7" t="s">
        <v>1477</v>
      </c>
      <c r="I291" s="6" t="s">
        <v>86</v>
      </c>
      <c r="J291" s="6" t="s">
        <v>125</v>
      </c>
      <c r="K291" s="6">
        <v>6</v>
      </c>
      <c r="L291" s="6" t="s">
        <v>163</v>
      </c>
      <c r="M291" s="6" t="s">
        <v>10</v>
      </c>
      <c r="N291" s="6" t="s">
        <v>13</v>
      </c>
      <c r="O291" s="6" t="s">
        <v>425</v>
      </c>
      <c r="P291" s="6" t="s">
        <v>172</v>
      </c>
      <c r="Q291" s="6" t="s">
        <v>149</v>
      </c>
      <c r="R291" s="8">
        <v>5.0999999999999996</v>
      </c>
      <c r="S291" s="8">
        <v>161.04</v>
      </c>
      <c r="T291" s="8">
        <v>8.69</v>
      </c>
      <c r="U291" s="8">
        <v>169.73</v>
      </c>
      <c r="V291" s="6" t="s">
        <v>601</v>
      </c>
      <c r="W291" s="6" t="s">
        <v>291</v>
      </c>
    </row>
    <row r="292" spans="1:23">
      <c r="A292" s="6">
        <v>289</v>
      </c>
      <c r="B292" s="7" t="s">
        <v>1478</v>
      </c>
      <c r="C292" s="7" t="s">
        <v>121</v>
      </c>
      <c r="D292" s="6" t="s">
        <v>24</v>
      </c>
      <c r="E292" s="6" t="s">
        <v>1479</v>
      </c>
      <c r="F292" s="6" t="s">
        <v>70</v>
      </c>
      <c r="G292" s="6" t="s">
        <v>1480</v>
      </c>
      <c r="H292" s="7" t="s">
        <v>1481</v>
      </c>
      <c r="I292" s="6" t="s">
        <v>73</v>
      </c>
      <c r="J292" s="6" t="s">
        <v>74</v>
      </c>
      <c r="K292" s="6">
        <v>600</v>
      </c>
      <c r="L292" s="6" t="s">
        <v>171</v>
      </c>
      <c r="M292" s="6" t="s">
        <v>12</v>
      </c>
      <c r="N292" s="6" t="s">
        <v>9</v>
      </c>
      <c r="O292" s="6" t="s">
        <v>21</v>
      </c>
      <c r="P292" s="6" t="s">
        <v>148</v>
      </c>
      <c r="Q292" s="6" t="s">
        <v>149</v>
      </c>
      <c r="R292" s="8">
        <v>4</v>
      </c>
      <c r="S292" s="8">
        <v>75.930000000000007</v>
      </c>
      <c r="T292" s="8">
        <v>49.15</v>
      </c>
      <c r="U292" s="8">
        <v>125.08</v>
      </c>
      <c r="V292" s="6" t="s">
        <v>1482</v>
      </c>
      <c r="W292" s="6" t="s">
        <v>391</v>
      </c>
    </row>
    <row r="293" spans="1:23" ht="22.35">
      <c r="A293" s="6">
        <v>290</v>
      </c>
      <c r="B293" s="7" t="s">
        <v>1483</v>
      </c>
      <c r="C293" s="7" t="s">
        <v>1484</v>
      </c>
      <c r="D293" s="6" t="s">
        <v>36</v>
      </c>
      <c r="E293" s="6" t="s">
        <v>1485</v>
      </c>
      <c r="F293" s="6" t="s">
        <v>83</v>
      </c>
      <c r="G293" s="6" t="s">
        <v>1204</v>
      </c>
      <c r="H293" s="7" t="s">
        <v>1486</v>
      </c>
      <c r="I293" s="6" t="s">
        <v>147</v>
      </c>
      <c r="J293" s="6" t="s">
        <v>125</v>
      </c>
      <c r="K293" s="6">
        <v>40</v>
      </c>
      <c r="L293" s="6" t="s">
        <v>171</v>
      </c>
      <c r="M293" s="6" t="s">
        <v>16</v>
      </c>
      <c r="N293" s="6" t="s">
        <v>15</v>
      </c>
      <c r="O293" s="6" t="s">
        <v>29</v>
      </c>
      <c r="P293" s="6" t="s">
        <v>148</v>
      </c>
      <c r="Q293" s="6" t="s">
        <v>149</v>
      </c>
      <c r="R293" s="8">
        <v>3.6</v>
      </c>
      <c r="S293" s="8">
        <v>85.73</v>
      </c>
      <c r="T293" s="8">
        <v>0</v>
      </c>
      <c r="U293" s="8">
        <v>85.73</v>
      </c>
      <c r="V293" s="6" t="s">
        <v>121</v>
      </c>
      <c r="W293" s="6" t="s">
        <v>165</v>
      </c>
    </row>
    <row r="294" spans="1:23">
      <c r="A294" s="6">
        <v>291</v>
      </c>
      <c r="B294" s="7" t="s">
        <v>1487</v>
      </c>
      <c r="C294" s="7" t="s">
        <v>121</v>
      </c>
      <c r="D294" s="6" t="s">
        <v>34</v>
      </c>
      <c r="E294" s="6" t="s">
        <v>1488</v>
      </c>
      <c r="F294" s="6" t="s">
        <v>83</v>
      </c>
      <c r="G294" s="6" t="s">
        <v>1489</v>
      </c>
      <c r="H294" s="7" t="s">
        <v>1490</v>
      </c>
      <c r="I294" s="6" t="s">
        <v>137</v>
      </c>
      <c r="J294" s="6" t="s">
        <v>125</v>
      </c>
      <c r="K294" s="6">
        <v>40</v>
      </c>
      <c r="L294" s="6" t="s">
        <v>327</v>
      </c>
      <c r="M294" s="6" t="s">
        <v>10</v>
      </c>
      <c r="N294" s="6" t="s">
        <v>13</v>
      </c>
      <c r="O294" s="6" t="s">
        <v>35</v>
      </c>
      <c r="P294" s="6" t="s">
        <v>76</v>
      </c>
      <c r="Q294" s="6" t="s">
        <v>149</v>
      </c>
      <c r="R294" s="8">
        <v>0</v>
      </c>
      <c r="S294" s="8">
        <v>0.08</v>
      </c>
      <c r="T294" s="8">
        <v>0.66</v>
      </c>
      <c r="U294" s="8">
        <v>0.74</v>
      </c>
      <c r="V294" s="6" t="s">
        <v>1491</v>
      </c>
      <c r="W294" s="6" t="s">
        <v>131</v>
      </c>
    </row>
    <row r="295" spans="1:23">
      <c r="A295" s="6">
        <v>292</v>
      </c>
      <c r="B295" s="7" t="s">
        <v>1492</v>
      </c>
      <c r="C295" s="7" t="s">
        <v>1493</v>
      </c>
      <c r="D295" s="6" t="s">
        <v>40</v>
      </c>
      <c r="E295" s="6" t="s">
        <v>1494</v>
      </c>
      <c r="F295" s="6" t="s">
        <v>83</v>
      </c>
      <c r="G295" s="6" t="s">
        <v>1495</v>
      </c>
      <c r="H295" s="7" t="s">
        <v>1496</v>
      </c>
      <c r="I295" s="6" t="s">
        <v>73</v>
      </c>
      <c r="J295" s="6" t="s">
        <v>74</v>
      </c>
      <c r="K295" s="6">
        <v>600</v>
      </c>
      <c r="L295" s="6" t="s">
        <v>327</v>
      </c>
      <c r="M295" s="6" t="s">
        <v>8</v>
      </c>
      <c r="N295" s="6" t="s">
        <v>9</v>
      </c>
      <c r="O295" s="6" t="s">
        <v>21</v>
      </c>
      <c r="P295" s="6" t="s">
        <v>76</v>
      </c>
      <c r="Q295" s="6" t="s">
        <v>149</v>
      </c>
      <c r="R295" s="8">
        <v>5.8</v>
      </c>
      <c r="S295" s="8">
        <v>123.89</v>
      </c>
      <c r="T295" s="8">
        <v>0</v>
      </c>
      <c r="U295" s="8">
        <v>123.89</v>
      </c>
      <c r="V295" s="6" t="s">
        <v>121</v>
      </c>
      <c r="W295" s="6" t="s">
        <v>173</v>
      </c>
    </row>
    <row r="296" spans="1:23">
      <c r="A296" s="6">
        <v>293</v>
      </c>
      <c r="B296" s="7" t="s">
        <v>1497</v>
      </c>
      <c r="C296" s="7" t="s">
        <v>121</v>
      </c>
      <c r="D296" s="6" t="s">
        <v>22</v>
      </c>
      <c r="E296" s="6" t="s">
        <v>1498</v>
      </c>
      <c r="F296" s="6" t="s">
        <v>70</v>
      </c>
      <c r="G296" s="6" t="s">
        <v>809</v>
      </c>
      <c r="H296" s="7" t="s">
        <v>1499</v>
      </c>
      <c r="I296" s="6" t="s">
        <v>73</v>
      </c>
      <c r="J296" s="6" t="s">
        <v>74</v>
      </c>
      <c r="K296" s="6">
        <v>200</v>
      </c>
      <c r="L296" s="6" t="s">
        <v>327</v>
      </c>
      <c r="M296" s="6" t="s">
        <v>10</v>
      </c>
      <c r="N296" s="6" t="s">
        <v>9</v>
      </c>
      <c r="O296" s="6" t="s">
        <v>23</v>
      </c>
      <c r="P296" s="6" t="s">
        <v>277</v>
      </c>
      <c r="Q296" s="6" t="s">
        <v>149</v>
      </c>
      <c r="R296" s="8">
        <v>3.6</v>
      </c>
      <c r="S296" s="8">
        <v>65.319999999999993</v>
      </c>
      <c r="T296" s="8">
        <v>23.7</v>
      </c>
      <c r="U296" s="8">
        <v>89.02</v>
      </c>
      <c r="V296" s="6" t="s">
        <v>1500</v>
      </c>
      <c r="W296" s="6" t="s">
        <v>348</v>
      </c>
    </row>
    <row r="297" spans="1:23">
      <c r="A297" s="6">
        <v>294</v>
      </c>
      <c r="B297" s="7" t="s">
        <v>1501</v>
      </c>
      <c r="C297" s="7" t="s">
        <v>121</v>
      </c>
      <c r="D297" s="6" t="s">
        <v>22</v>
      </c>
      <c r="E297" s="6" t="s">
        <v>1502</v>
      </c>
      <c r="F297" s="6" t="s">
        <v>70</v>
      </c>
      <c r="G297" s="6" t="s">
        <v>1503</v>
      </c>
      <c r="H297" s="7" t="s">
        <v>1504</v>
      </c>
      <c r="I297" s="6" t="s">
        <v>73</v>
      </c>
      <c r="J297" s="6" t="s">
        <v>74</v>
      </c>
      <c r="K297" s="6">
        <v>400</v>
      </c>
      <c r="L297" s="6" t="s">
        <v>138</v>
      </c>
      <c r="M297" s="6" t="s">
        <v>12</v>
      </c>
      <c r="N297" s="6" t="s">
        <v>9</v>
      </c>
      <c r="O297" s="6" t="s">
        <v>25</v>
      </c>
      <c r="P297" s="6" t="s">
        <v>157</v>
      </c>
      <c r="Q297" s="6" t="s">
        <v>158</v>
      </c>
      <c r="R297" s="8">
        <v>6.8</v>
      </c>
      <c r="S297" s="8">
        <v>115.23</v>
      </c>
      <c r="T297" s="8">
        <v>20.02</v>
      </c>
      <c r="U297" s="8">
        <v>135.25</v>
      </c>
      <c r="V297" s="6" t="s">
        <v>1346</v>
      </c>
      <c r="W297" s="6" t="s">
        <v>263</v>
      </c>
    </row>
    <row r="298" spans="1:23">
      <c r="A298" s="6">
        <v>295</v>
      </c>
      <c r="B298" s="7" t="s">
        <v>1505</v>
      </c>
      <c r="C298" s="7" t="s">
        <v>121</v>
      </c>
      <c r="D298" s="6" t="s">
        <v>20</v>
      </c>
      <c r="E298" s="6" t="s">
        <v>1506</v>
      </c>
      <c r="F298" s="6" t="s">
        <v>70</v>
      </c>
      <c r="G298" s="6" t="s">
        <v>776</v>
      </c>
      <c r="H298" s="7" t="s">
        <v>1507</v>
      </c>
      <c r="I298" s="6" t="s">
        <v>73</v>
      </c>
      <c r="J298" s="6" t="s">
        <v>125</v>
      </c>
      <c r="K298" s="6">
        <v>40</v>
      </c>
      <c r="L298" s="6" t="s">
        <v>116</v>
      </c>
      <c r="M298" s="6" t="s">
        <v>10</v>
      </c>
      <c r="N298" s="6" t="s">
        <v>9</v>
      </c>
      <c r="O298" s="6" t="s">
        <v>25</v>
      </c>
      <c r="P298" s="6" t="s">
        <v>108</v>
      </c>
      <c r="Q298" s="6" t="s">
        <v>206</v>
      </c>
      <c r="R298" s="8">
        <v>11.2</v>
      </c>
      <c r="S298" s="8">
        <v>211.03</v>
      </c>
      <c r="T298" s="8">
        <v>18.88</v>
      </c>
      <c r="U298" s="8">
        <v>229.91</v>
      </c>
      <c r="V298" s="6" t="s">
        <v>1508</v>
      </c>
      <c r="W298" s="6" t="s">
        <v>460</v>
      </c>
    </row>
    <row r="299" spans="1:23">
      <c r="A299" s="6">
        <v>296</v>
      </c>
      <c r="B299" s="7" t="s">
        <v>1509</v>
      </c>
      <c r="C299" s="7" t="s">
        <v>121</v>
      </c>
      <c r="D299" s="6" t="s">
        <v>24</v>
      </c>
      <c r="E299" s="6" t="s">
        <v>1510</v>
      </c>
      <c r="F299" s="6" t="s">
        <v>345</v>
      </c>
      <c r="G299" s="6" t="s">
        <v>1511</v>
      </c>
      <c r="H299" s="7" t="s">
        <v>1512</v>
      </c>
      <c r="I299" s="6" t="s">
        <v>147</v>
      </c>
      <c r="J299" s="6" t="s">
        <v>74</v>
      </c>
      <c r="K299" s="6">
        <v>200</v>
      </c>
      <c r="L299" s="6" t="s">
        <v>75</v>
      </c>
      <c r="M299" s="6" t="s">
        <v>8</v>
      </c>
      <c r="N299" s="6" t="s">
        <v>9</v>
      </c>
      <c r="O299" s="6" t="s">
        <v>23</v>
      </c>
      <c r="P299" s="6" t="s">
        <v>248</v>
      </c>
      <c r="Q299" s="6" t="s">
        <v>249</v>
      </c>
      <c r="R299" s="8">
        <v>6.8</v>
      </c>
      <c r="S299" s="8">
        <v>292.64999999999998</v>
      </c>
      <c r="T299" s="8">
        <v>0</v>
      </c>
      <c r="U299" s="8">
        <v>292.64999999999998</v>
      </c>
      <c r="V299" s="6" t="s">
        <v>121</v>
      </c>
      <c r="W299" s="6" t="s">
        <v>193</v>
      </c>
    </row>
    <row r="300" spans="1:23">
      <c r="A300" s="6">
        <v>297</v>
      </c>
      <c r="B300" s="7" t="s">
        <v>1513</v>
      </c>
      <c r="C300" s="7" t="s">
        <v>1514</v>
      </c>
      <c r="D300" s="6" t="s">
        <v>28</v>
      </c>
      <c r="E300" s="6" t="s">
        <v>1515</v>
      </c>
      <c r="F300" s="6" t="s">
        <v>83</v>
      </c>
      <c r="G300" s="6" t="s">
        <v>842</v>
      </c>
      <c r="H300" s="7" t="s">
        <v>1516</v>
      </c>
      <c r="I300" s="6" t="s">
        <v>86</v>
      </c>
      <c r="J300" s="6" t="s">
        <v>125</v>
      </c>
      <c r="K300" s="6">
        <v>6</v>
      </c>
      <c r="L300" s="6" t="s">
        <v>241</v>
      </c>
      <c r="M300" s="6" t="s">
        <v>8</v>
      </c>
      <c r="N300" s="6" t="s">
        <v>11</v>
      </c>
      <c r="O300" s="6" t="s">
        <v>33</v>
      </c>
      <c r="P300" s="6" t="s">
        <v>178</v>
      </c>
      <c r="Q300" s="6" t="s">
        <v>179</v>
      </c>
      <c r="R300" s="8">
        <v>32.6</v>
      </c>
      <c r="S300" s="8">
        <v>972.43</v>
      </c>
      <c r="T300" s="8">
        <v>0</v>
      </c>
      <c r="U300" s="8">
        <v>972.43</v>
      </c>
      <c r="V300" s="6" t="s">
        <v>121</v>
      </c>
      <c r="W300" s="6" t="s">
        <v>141</v>
      </c>
    </row>
    <row r="301" spans="1:23">
      <c r="A301" s="6">
        <v>298</v>
      </c>
      <c r="B301" s="7" t="s">
        <v>1517</v>
      </c>
      <c r="C301" s="7" t="s">
        <v>121</v>
      </c>
      <c r="D301" s="6" t="s">
        <v>22</v>
      </c>
      <c r="E301" s="6" t="s">
        <v>1518</v>
      </c>
      <c r="F301" s="6" t="s">
        <v>70</v>
      </c>
      <c r="G301" s="6" t="s">
        <v>1519</v>
      </c>
      <c r="H301" s="7" t="s">
        <v>1520</v>
      </c>
      <c r="I301" s="6" t="s">
        <v>137</v>
      </c>
      <c r="J301" s="6" t="s">
        <v>125</v>
      </c>
      <c r="K301" s="6">
        <v>40</v>
      </c>
      <c r="L301" s="6" t="s">
        <v>116</v>
      </c>
      <c r="M301" s="6" t="s">
        <v>14</v>
      </c>
      <c r="N301" s="6" t="s">
        <v>13</v>
      </c>
      <c r="O301" s="6" t="s">
        <v>37</v>
      </c>
      <c r="P301" s="6" t="s">
        <v>108</v>
      </c>
      <c r="Q301" s="6" t="s">
        <v>206</v>
      </c>
      <c r="R301" s="8">
        <v>0</v>
      </c>
      <c r="S301" s="8">
        <v>0.23</v>
      </c>
      <c r="T301" s="8">
        <v>0</v>
      </c>
      <c r="U301" s="8">
        <v>0.23</v>
      </c>
      <c r="V301" s="6" t="s">
        <v>121</v>
      </c>
      <c r="W301" s="6" t="s">
        <v>460</v>
      </c>
    </row>
    <row r="302" spans="1:23">
      <c r="A302" s="6">
        <v>299</v>
      </c>
      <c r="B302" s="7" t="s">
        <v>1521</v>
      </c>
      <c r="C302" s="7" t="s">
        <v>1522</v>
      </c>
      <c r="D302" s="6" t="s">
        <v>28</v>
      </c>
      <c r="E302" s="6" t="s">
        <v>1523</v>
      </c>
      <c r="F302" s="6" t="s">
        <v>83</v>
      </c>
      <c r="G302" s="6" t="s">
        <v>1524</v>
      </c>
      <c r="H302" s="7" t="s">
        <v>1525</v>
      </c>
      <c r="I302" s="6" t="s">
        <v>86</v>
      </c>
      <c r="J302" s="6" t="s">
        <v>125</v>
      </c>
      <c r="K302" s="6">
        <v>40</v>
      </c>
      <c r="L302" s="6" t="s">
        <v>241</v>
      </c>
      <c r="M302" s="6" t="s">
        <v>12</v>
      </c>
      <c r="N302" s="6" t="s">
        <v>9</v>
      </c>
      <c r="O302" s="6" t="s">
        <v>23</v>
      </c>
      <c r="P302" s="6" t="s">
        <v>117</v>
      </c>
      <c r="Q302" s="6" t="s">
        <v>158</v>
      </c>
      <c r="R302" s="8">
        <v>1.3</v>
      </c>
      <c r="S302" s="8">
        <v>42.33</v>
      </c>
      <c r="T302" s="8">
        <v>27.03</v>
      </c>
      <c r="U302" s="8">
        <v>69.36</v>
      </c>
      <c r="V302" s="6" t="s">
        <v>321</v>
      </c>
      <c r="W302" s="6" t="s">
        <v>110</v>
      </c>
    </row>
    <row r="303" spans="1:23">
      <c r="A303" s="6">
        <v>300</v>
      </c>
      <c r="B303" s="7" t="s">
        <v>1526</v>
      </c>
      <c r="C303" s="7" t="s">
        <v>121</v>
      </c>
      <c r="D303" s="6" t="s">
        <v>20</v>
      </c>
      <c r="E303" s="6" t="s">
        <v>1527</v>
      </c>
      <c r="F303" s="6" t="s">
        <v>83</v>
      </c>
      <c r="G303" s="6" t="s">
        <v>180</v>
      </c>
      <c r="H303" s="7" t="s">
        <v>1528</v>
      </c>
      <c r="I303" s="6" t="s">
        <v>86</v>
      </c>
      <c r="J303" s="6" t="s">
        <v>125</v>
      </c>
      <c r="K303" s="6">
        <v>60</v>
      </c>
      <c r="L303" s="6" t="s">
        <v>97</v>
      </c>
      <c r="M303" s="6" t="s">
        <v>8</v>
      </c>
      <c r="N303" s="6" t="s">
        <v>9</v>
      </c>
      <c r="O303" s="6" t="s">
        <v>33</v>
      </c>
      <c r="P303" s="6" t="s">
        <v>200</v>
      </c>
      <c r="Q303" s="6" t="s">
        <v>129</v>
      </c>
      <c r="R303" s="8">
        <v>3.9</v>
      </c>
      <c r="S303" s="8">
        <v>155.75</v>
      </c>
      <c r="T303" s="8">
        <v>0</v>
      </c>
      <c r="U303" s="8">
        <v>155.75</v>
      </c>
      <c r="V303" s="6" t="s">
        <v>121</v>
      </c>
      <c r="W303" s="6" t="s">
        <v>744</v>
      </c>
    </row>
    <row r="304" spans="1:23">
      <c r="A304" s="6">
        <v>301</v>
      </c>
      <c r="B304" s="7" t="s">
        <v>1529</v>
      </c>
      <c r="C304" s="7" t="s">
        <v>1530</v>
      </c>
      <c r="D304" s="6" t="s">
        <v>28</v>
      </c>
      <c r="E304" s="6" t="s">
        <v>1531</v>
      </c>
      <c r="F304" s="6" t="s">
        <v>83</v>
      </c>
      <c r="G304" s="6" t="s">
        <v>1511</v>
      </c>
      <c r="H304" s="7" t="s">
        <v>1532</v>
      </c>
      <c r="I304" s="6" t="s">
        <v>86</v>
      </c>
      <c r="J304" s="6" t="s">
        <v>87</v>
      </c>
      <c r="K304" s="6">
        <v>2000</v>
      </c>
      <c r="L304" s="6" t="s">
        <v>327</v>
      </c>
      <c r="M304" s="6" t="s">
        <v>10</v>
      </c>
      <c r="N304" s="6" t="s">
        <v>11</v>
      </c>
      <c r="O304" s="6" t="s">
        <v>43</v>
      </c>
      <c r="P304" s="6" t="s">
        <v>148</v>
      </c>
      <c r="Q304" s="6" t="s">
        <v>149</v>
      </c>
      <c r="R304" s="8">
        <v>0.6</v>
      </c>
      <c r="S304" s="8">
        <v>27.59</v>
      </c>
      <c r="T304" s="8">
        <v>39.08</v>
      </c>
      <c r="U304" s="8">
        <v>66.67</v>
      </c>
      <c r="V304" s="6" t="s">
        <v>1533</v>
      </c>
      <c r="W304" s="6" t="s">
        <v>193</v>
      </c>
    </row>
    <row r="305" spans="1:23">
      <c r="A305" s="6">
        <v>302</v>
      </c>
      <c r="B305" s="7" t="s">
        <v>1534</v>
      </c>
      <c r="C305" s="7" t="s">
        <v>121</v>
      </c>
      <c r="D305" s="6" t="s">
        <v>20</v>
      </c>
      <c r="E305" s="6" t="s">
        <v>1535</v>
      </c>
      <c r="F305" s="6" t="s">
        <v>83</v>
      </c>
      <c r="G305" s="6" t="s">
        <v>1536</v>
      </c>
      <c r="H305" s="7" t="s">
        <v>1537</v>
      </c>
      <c r="I305" s="6" t="s">
        <v>86</v>
      </c>
      <c r="J305" s="6" t="s">
        <v>125</v>
      </c>
      <c r="K305" s="6">
        <v>40</v>
      </c>
      <c r="L305" s="6" t="s">
        <v>241</v>
      </c>
      <c r="M305" s="6" t="s">
        <v>14</v>
      </c>
      <c r="N305" s="6" t="s">
        <v>9</v>
      </c>
      <c r="O305" s="6" t="s">
        <v>23</v>
      </c>
      <c r="P305" s="6" t="s">
        <v>277</v>
      </c>
      <c r="Q305" s="6" t="s">
        <v>149</v>
      </c>
      <c r="R305" s="8">
        <v>1</v>
      </c>
      <c r="S305" s="8">
        <v>32.29</v>
      </c>
      <c r="T305" s="8">
        <v>0</v>
      </c>
      <c r="U305" s="8">
        <v>32.29</v>
      </c>
      <c r="V305" s="6" t="s">
        <v>121</v>
      </c>
      <c r="W305" s="6" t="s">
        <v>193</v>
      </c>
    </row>
    <row r="306" spans="1:23">
      <c r="A306" s="6">
        <v>303</v>
      </c>
      <c r="B306" s="7" t="s">
        <v>1538</v>
      </c>
      <c r="C306" s="7" t="s">
        <v>121</v>
      </c>
      <c r="D306" s="6" t="s">
        <v>36</v>
      </c>
      <c r="E306" s="6" t="s">
        <v>1539</v>
      </c>
      <c r="F306" s="6" t="s">
        <v>70</v>
      </c>
      <c r="G306" s="6" t="s">
        <v>1540</v>
      </c>
      <c r="H306" s="7" t="s">
        <v>1541</v>
      </c>
      <c r="I306" s="6" t="s">
        <v>147</v>
      </c>
      <c r="J306" s="6" t="s">
        <v>74</v>
      </c>
      <c r="K306" s="6">
        <v>400</v>
      </c>
      <c r="L306" s="6" t="s">
        <v>75</v>
      </c>
      <c r="M306" s="6" t="s">
        <v>8</v>
      </c>
      <c r="N306" s="6" t="s">
        <v>9</v>
      </c>
      <c r="O306" s="6" t="s">
        <v>33</v>
      </c>
      <c r="P306" s="6" t="s">
        <v>148</v>
      </c>
      <c r="Q306" s="6" t="s">
        <v>149</v>
      </c>
      <c r="R306" s="8">
        <v>9.9</v>
      </c>
      <c r="S306" s="8">
        <v>198.13</v>
      </c>
      <c r="T306" s="8">
        <v>0</v>
      </c>
      <c r="U306" s="8">
        <v>198.13</v>
      </c>
      <c r="V306" s="6" t="s">
        <v>121</v>
      </c>
      <c r="W306" s="6" t="s">
        <v>173</v>
      </c>
    </row>
    <row r="307" spans="1:23">
      <c r="A307" s="6">
        <v>304</v>
      </c>
      <c r="B307" s="7" t="s">
        <v>1542</v>
      </c>
      <c r="C307" s="7" t="s">
        <v>121</v>
      </c>
      <c r="D307" s="6" t="s">
        <v>22</v>
      </c>
      <c r="E307" s="6" t="s">
        <v>1543</v>
      </c>
      <c r="F307" s="6" t="s">
        <v>345</v>
      </c>
      <c r="G307" s="6" t="s">
        <v>190</v>
      </c>
      <c r="H307" s="7" t="s">
        <v>1544</v>
      </c>
      <c r="I307" s="6" t="s">
        <v>86</v>
      </c>
      <c r="J307" s="6" t="s">
        <v>125</v>
      </c>
      <c r="K307" s="6">
        <v>40</v>
      </c>
      <c r="L307" s="6" t="s">
        <v>138</v>
      </c>
      <c r="M307" s="6" t="s">
        <v>10</v>
      </c>
      <c r="N307" s="6" t="s">
        <v>9</v>
      </c>
      <c r="O307" s="6" t="s">
        <v>25</v>
      </c>
      <c r="P307" s="6" t="s">
        <v>128</v>
      </c>
      <c r="Q307" s="6" t="s">
        <v>129</v>
      </c>
      <c r="R307" s="8">
        <v>13.5</v>
      </c>
      <c r="S307" s="8">
        <v>305.47000000000003</v>
      </c>
      <c r="T307" s="8">
        <v>30.02</v>
      </c>
      <c r="U307" s="8">
        <v>335.49</v>
      </c>
      <c r="V307" s="6" t="s">
        <v>1545</v>
      </c>
      <c r="W307" s="6" t="s">
        <v>193</v>
      </c>
    </row>
    <row r="308" spans="1:23">
      <c r="A308" s="6">
        <v>305</v>
      </c>
      <c r="B308" s="7" t="s">
        <v>1546</v>
      </c>
      <c r="C308" s="7" t="s">
        <v>121</v>
      </c>
      <c r="D308" s="6" t="s">
        <v>26</v>
      </c>
      <c r="E308" s="6" t="s">
        <v>1547</v>
      </c>
      <c r="F308" s="6" t="s">
        <v>70</v>
      </c>
      <c r="G308" s="6" t="s">
        <v>774</v>
      </c>
      <c r="H308" s="7" t="s">
        <v>1548</v>
      </c>
      <c r="I308" s="6" t="s">
        <v>86</v>
      </c>
      <c r="J308" s="6" t="s">
        <v>125</v>
      </c>
      <c r="K308" s="6">
        <v>40</v>
      </c>
      <c r="L308" s="6" t="s">
        <v>327</v>
      </c>
      <c r="M308" s="6" t="s">
        <v>14</v>
      </c>
      <c r="N308" s="6" t="s">
        <v>11</v>
      </c>
      <c r="O308" s="6" t="s">
        <v>31</v>
      </c>
      <c r="P308" s="6" t="s">
        <v>185</v>
      </c>
      <c r="Q308" s="6" t="s">
        <v>186</v>
      </c>
      <c r="R308" s="8">
        <v>1.5</v>
      </c>
      <c r="S308" s="8">
        <v>26.17</v>
      </c>
      <c r="T308" s="8">
        <v>0</v>
      </c>
      <c r="U308" s="8">
        <v>26.17</v>
      </c>
      <c r="V308" s="6" t="s">
        <v>121</v>
      </c>
      <c r="W308" s="6" t="s">
        <v>420</v>
      </c>
    </row>
    <row r="309" spans="1:23">
      <c r="A309" s="6">
        <v>306</v>
      </c>
      <c r="B309" s="7" t="s">
        <v>1549</v>
      </c>
      <c r="C309" s="7" t="s">
        <v>1550</v>
      </c>
      <c r="D309" s="6" t="s">
        <v>28</v>
      </c>
      <c r="E309" s="6" t="s">
        <v>1551</v>
      </c>
      <c r="F309" s="6" t="s">
        <v>83</v>
      </c>
      <c r="G309" s="6" t="s">
        <v>951</v>
      </c>
      <c r="H309" s="7" t="s">
        <v>1552</v>
      </c>
      <c r="I309" s="6" t="s">
        <v>147</v>
      </c>
      <c r="J309" s="6" t="s">
        <v>74</v>
      </c>
      <c r="K309" s="6">
        <v>400</v>
      </c>
      <c r="L309" s="6" t="s">
        <v>107</v>
      </c>
      <c r="M309" s="6" t="s">
        <v>8</v>
      </c>
      <c r="N309" s="6" t="s">
        <v>13</v>
      </c>
      <c r="O309" s="6" t="s">
        <v>425</v>
      </c>
      <c r="P309" s="6" t="s">
        <v>117</v>
      </c>
      <c r="Q309" s="6" t="s">
        <v>426</v>
      </c>
      <c r="R309" s="8">
        <v>10.9</v>
      </c>
      <c r="S309" s="8">
        <v>453.32</v>
      </c>
      <c r="T309" s="8">
        <v>0</v>
      </c>
      <c r="U309" s="8">
        <v>453.32</v>
      </c>
      <c r="V309" s="6" t="s">
        <v>121</v>
      </c>
      <c r="W309" s="6" t="s">
        <v>284</v>
      </c>
    </row>
    <row r="310" spans="1:23" ht="22.35">
      <c r="A310" s="6">
        <v>307</v>
      </c>
      <c r="B310" s="7" t="s">
        <v>1553</v>
      </c>
      <c r="C310" s="7" t="s">
        <v>121</v>
      </c>
      <c r="D310" s="6" t="s">
        <v>30</v>
      </c>
      <c r="E310" s="6" t="s">
        <v>1554</v>
      </c>
      <c r="F310" s="6" t="s">
        <v>83</v>
      </c>
      <c r="G310" s="6" t="s">
        <v>1555</v>
      </c>
      <c r="H310" s="7" t="s">
        <v>1556</v>
      </c>
      <c r="I310" s="6" t="s">
        <v>73</v>
      </c>
      <c r="J310" s="6" t="s">
        <v>125</v>
      </c>
      <c r="K310" s="6">
        <v>60</v>
      </c>
      <c r="L310" s="6" t="s">
        <v>116</v>
      </c>
      <c r="M310" s="6" t="s">
        <v>16</v>
      </c>
      <c r="N310" s="6" t="s">
        <v>11</v>
      </c>
      <c r="O310" s="6" t="s">
        <v>41</v>
      </c>
      <c r="P310" s="6" t="s">
        <v>192</v>
      </c>
      <c r="Q310" s="6" t="s">
        <v>129</v>
      </c>
      <c r="R310" s="8">
        <v>2.8</v>
      </c>
      <c r="S310" s="8">
        <v>111.48</v>
      </c>
      <c r="T310" s="8">
        <v>0</v>
      </c>
      <c r="U310" s="8">
        <v>111.48</v>
      </c>
      <c r="V310" s="6" t="s">
        <v>121</v>
      </c>
      <c r="W310" s="6" t="s">
        <v>348</v>
      </c>
    </row>
    <row r="311" spans="1:23">
      <c r="A311" s="6">
        <v>308</v>
      </c>
      <c r="B311" s="7" t="s">
        <v>1557</v>
      </c>
      <c r="C311" s="7" t="s">
        <v>121</v>
      </c>
      <c r="D311" s="6" t="s">
        <v>28</v>
      </c>
      <c r="E311" s="6" t="s">
        <v>1558</v>
      </c>
      <c r="F311" s="6" t="s">
        <v>70</v>
      </c>
      <c r="G311" s="6" t="s">
        <v>1559</v>
      </c>
      <c r="H311" s="7" t="s">
        <v>1560</v>
      </c>
      <c r="I311" s="6" t="s">
        <v>73</v>
      </c>
      <c r="J311" s="6" t="s">
        <v>125</v>
      </c>
      <c r="K311" s="6">
        <v>60</v>
      </c>
      <c r="L311" s="6" t="s">
        <v>107</v>
      </c>
      <c r="M311" s="6" t="s">
        <v>10</v>
      </c>
      <c r="N311" s="6" t="s">
        <v>15</v>
      </c>
      <c r="O311" s="6" t="s">
        <v>156</v>
      </c>
      <c r="P311" s="6" t="s">
        <v>192</v>
      </c>
      <c r="Q311" s="6" t="s">
        <v>289</v>
      </c>
      <c r="R311" s="8">
        <v>7.1</v>
      </c>
      <c r="S311" s="8">
        <v>109.38</v>
      </c>
      <c r="T311" s="8">
        <v>18</v>
      </c>
      <c r="U311" s="8">
        <v>127.38</v>
      </c>
      <c r="V311" s="6" t="s">
        <v>1441</v>
      </c>
      <c r="W311" s="6" t="s">
        <v>91</v>
      </c>
    </row>
    <row r="312" spans="1:23">
      <c r="A312" s="6">
        <v>309</v>
      </c>
      <c r="B312" s="7" t="s">
        <v>1561</v>
      </c>
      <c r="C312" s="7" t="s">
        <v>1562</v>
      </c>
      <c r="D312" s="6" t="s">
        <v>20</v>
      </c>
      <c r="E312" s="6" t="s">
        <v>1563</v>
      </c>
      <c r="F312" s="6" t="s">
        <v>83</v>
      </c>
      <c r="G312" s="6" t="s">
        <v>1138</v>
      </c>
      <c r="H312" s="7" t="s">
        <v>1564</v>
      </c>
      <c r="I312" s="6" t="s">
        <v>147</v>
      </c>
      <c r="J312" s="6" t="s">
        <v>125</v>
      </c>
      <c r="K312" s="6">
        <v>6</v>
      </c>
      <c r="L312" s="6" t="s">
        <v>199</v>
      </c>
      <c r="M312" s="6" t="s">
        <v>8</v>
      </c>
      <c r="N312" s="6" t="s">
        <v>15</v>
      </c>
      <c r="O312" s="6" t="s">
        <v>29</v>
      </c>
      <c r="P312" s="6" t="s">
        <v>117</v>
      </c>
      <c r="Q312" s="6" t="s">
        <v>158</v>
      </c>
      <c r="R312" s="8">
        <v>2.6</v>
      </c>
      <c r="S312" s="8">
        <v>64.37</v>
      </c>
      <c r="T312" s="8">
        <v>0</v>
      </c>
      <c r="U312" s="8">
        <v>64.37</v>
      </c>
      <c r="V312" s="6" t="s">
        <v>121</v>
      </c>
      <c r="W312" s="6" t="s">
        <v>219</v>
      </c>
    </row>
    <row r="313" spans="1:23">
      <c r="A313" s="6">
        <v>310</v>
      </c>
      <c r="B313" s="7" t="s">
        <v>1565</v>
      </c>
      <c r="C313" s="7" t="s">
        <v>121</v>
      </c>
      <c r="D313" s="6" t="s">
        <v>20</v>
      </c>
      <c r="E313" s="6" t="s">
        <v>1566</v>
      </c>
      <c r="F313" s="6" t="s">
        <v>70</v>
      </c>
      <c r="G313" s="6" t="s">
        <v>1567</v>
      </c>
      <c r="H313" s="7" t="s">
        <v>1568</v>
      </c>
      <c r="I313" s="6" t="s">
        <v>147</v>
      </c>
      <c r="J313" s="6" t="s">
        <v>125</v>
      </c>
      <c r="K313" s="6">
        <v>60</v>
      </c>
      <c r="L313" s="6" t="s">
        <v>126</v>
      </c>
      <c r="M313" s="6" t="s">
        <v>12</v>
      </c>
      <c r="N313" s="6" t="s">
        <v>9</v>
      </c>
      <c r="O313" s="6" t="s">
        <v>33</v>
      </c>
      <c r="P313" s="6" t="s">
        <v>172</v>
      </c>
      <c r="Q313" s="6" t="s">
        <v>149</v>
      </c>
      <c r="R313" s="8">
        <v>1.3</v>
      </c>
      <c r="S313" s="8">
        <v>43.78</v>
      </c>
      <c r="T313" s="8">
        <v>23.29</v>
      </c>
      <c r="U313" s="8">
        <v>67.069999999999993</v>
      </c>
      <c r="V313" s="6" t="s">
        <v>1569</v>
      </c>
      <c r="W313" s="6" t="s">
        <v>397</v>
      </c>
    </row>
    <row r="314" spans="1:23">
      <c r="A314" s="6">
        <v>311</v>
      </c>
      <c r="B314" s="7" t="s">
        <v>1570</v>
      </c>
      <c r="C314" s="7" t="s">
        <v>121</v>
      </c>
      <c r="D314" s="6" t="s">
        <v>22</v>
      </c>
      <c r="E314" s="6" t="s">
        <v>1571</v>
      </c>
      <c r="F314" s="6" t="s">
        <v>70</v>
      </c>
      <c r="G314" s="6" t="s">
        <v>1572</v>
      </c>
      <c r="H314" s="7" t="s">
        <v>1573</v>
      </c>
      <c r="I314" s="6" t="s">
        <v>73</v>
      </c>
      <c r="J314" s="6" t="s">
        <v>125</v>
      </c>
      <c r="K314" s="6">
        <v>40</v>
      </c>
      <c r="L314" s="6" t="s">
        <v>138</v>
      </c>
      <c r="M314" s="6" t="s">
        <v>10</v>
      </c>
      <c r="N314" s="6" t="s">
        <v>11</v>
      </c>
      <c r="O314" s="6" t="s">
        <v>31</v>
      </c>
      <c r="P314" s="6" t="s">
        <v>128</v>
      </c>
      <c r="Q314" s="6" t="s">
        <v>129</v>
      </c>
      <c r="R314" s="8">
        <v>12.6</v>
      </c>
      <c r="S314" s="8">
        <v>432.74</v>
      </c>
      <c r="T314" s="8">
        <v>31.84</v>
      </c>
      <c r="U314" s="8">
        <v>464.58</v>
      </c>
      <c r="V314" s="6" t="s">
        <v>1574</v>
      </c>
      <c r="W314" s="6" t="s">
        <v>219</v>
      </c>
    </row>
    <row r="315" spans="1:23">
      <c r="A315" s="6">
        <v>312</v>
      </c>
      <c r="B315" s="7" t="s">
        <v>1575</v>
      </c>
      <c r="C315" s="7" t="s">
        <v>121</v>
      </c>
      <c r="D315" s="6" t="s">
        <v>20</v>
      </c>
      <c r="E315" s="6" t="s">
        <v>1576</v>
      </c>
      <c r="F315" s="6" t="s">
        <v>83</v>
      </c>
      <c r="G315" s="6" t="s">
        <v>1577</v>
      </c>
      <c r="H315" s="7" t="s">
        <v>1578</v>
      </c>
      <c r="I315" s="6" t="s">
        <v>86</v>
      </c>
      <c r="J315" s="6" t="s">
        <v>74</v>
      </c>
      <c r="K315" s="6">
        <v>400</v>
      </c>
      <c r="L315" s="6" t="s">
        <v>138</v>
      </c>
      <c r="M315" s="6" t="s">
        <v>14</v>
      </c>
      <c r="N315" s="6" t="s">
        <v>9</v>
      </c>
      <c r="O315" s="6" t="s">
        <v>27</v>
      </c>
      <c r="P315" s="6" t="s">
        <v>108</v>
      </c>
      <c r="Q315" s="6" t="s">
        <v>206</v>
      </c>
      <c r="R315" s="8">
        <v>2</v>
      </c>
      <c r="S315" s="8">
        <v>46.4</v>
      </c>
      <c r="T315" s="8">
        <v>0</v>
      </c>
      <c r="U315" s="8">
        <v>46.4</v>
      </c>
      <c r="V315" s="6" t="s">
        <v>121</v>
      </c>
      <c r="W315" s="6" t="s">
        <v>257</v>
      </c>
    </row>
    <row r="316" spans="1:23">
      <c r="A316" s="6">
        <v>313</v>
      </c>
      <c r="B316" s="7" t="s">
        <v>1579</v>
      </c>
      <c r="C316" s="7" t="s">
        <v>121</v>
      </c>
      <c r="D316" s="6" t="s">
        <v>36</v>
      </c>
      <c r="E316" s="6" t="s">
        <v>1580</v>
      </c>
      <c r="F316" s="6" t="s">
        <v>83</v>
      </c>
      <c r="G316" s="6" t="s">
        <v>1581</v>
      </c>
      <c r="H316" s="7" t="s">
        <v>1582</v>
      </c>
      <c r="I316" s="6" t="s">
        <v>147</v>
      </c>
      <c r="J316" s="6" t="s">
        <v>125</v>
      </c>
      <c r="K316" s="6">
        <v>6</v>
      </c>
      <c r="L316" s="6" t="s">
        <v>267</v>
      </c>
      <c r="M316" s="6" t="s">
        <v>12</v>
      </c>
      <c r="N316" s="6" t="s">
        <v>13</v>
      </c>
      <c r="O316" s="6" t="s">
        <v>425</v>
      </c>
      <c r="P316" s="6" t="s">
        <v>76</v>
      </c>
      <c r="Q316" s="6" t="s">
        <v>149</v>
      </c>
      <c r="R316" s="8">
        <v>22.8</v>
      </c>
      <c r="S316" s="8">
        <v>390.18</v>
      </c>
      <c r="T316" s="8">
        <v>5.52</v>
      </c>
      <c r="U316" s="8">
        <v>395.7</v>
      </c>
      <c r="V316" s="6" t="s">
        <v>1583</v>
      </c>
      <c r="W316" s="6" t="s">
        <v>131</v>
      </c>
    </row>
    <row r="317" spans="1:23">
      <c r="A317" s="6">
        <v>314</v>
      </c>
      <c r="B317" s="7" t="s">
        <v>1584</v>
      </c>
      <c r="C317" s="7" t="s">
        <v>121</v>
      </c>
      <c r="D317" s="6" t="s">
        <v>32</v>
      </c>
      <c r="E317" s="6" t="s">
        <v>1585</v>
      </c>
      <c r="F317" s="6" t="s">
        <v>70</v>
      </c>
      <c r="G317" s="6" t="s">
        <v>1586</v>
      </c>
      <c r="H317" s="7" t="s">
        <v>1587</v>
      </c>
      <c r="I317" s="6" t="s">
        <v>73</v>
      </c>
      <c r="J317" s="6" t="s">
        <v>74</v>
      </c>
      <c r="K317" s="6">
        <v>400</v>
      </c>
      <c r="L317" s="6" t="s">
        <v>116</v>
      </c>
      <c r="M317" s="6" t="s">
        <v>12</v>
      </c>
      <c r="N317" s="6" t="s">
        <v>9</v>
      </c>
      <c r="O317" s="6" t="s">
        <v>33</v>
      </c>
      <c r="P317" s="6" t="s">
        <v>157</v>
      </c>
      <c r="Q317" s="6" t="s">
        <v>158</v>
      </c>
      <c r="R317" s="8">
        <v>8.5</v>
      </c>
      <c r="S317" s="8">
        <v>170.7</v>
      </c>
      <c r="T317" s="8">
        <v>11.75</v>
      </c>
      <c r="U317" s="8">
        <v>182.45</v>
      </c>
      <c r="V317" s="6" t="s">
        <v>1588</v>
      </c>
      <c r="W317" s="6" t="s">
        <v>368</v>
      </c>
    </row>
    <row r="318" spans="1:23">
      <c r="A318" s="6">
        <v>315</v>
      </c>
      <c r="B318" s="7" t="s">
        <v>1589</v>
      </c>
      <c r="C318" s="7" t="s">
        <v>121</v>
      </c>
      <c r="D318" s="6" t="s">
        <v>30</v>
      </c>
      <c r="E318" s="6" t="s">
        <v>1590</v>
      </c>
      <c r="F318" s="6" t="s">
        <v>70</v>
      </c>
      <c r="G318" s="6" t="s">
        <v>176</v>
      </c>
      <c r="H318" s="7" t="s">
        <v>1591</v>
      </c>
      <c r="I318" s="6" t="s">
        <v>137</v>
      </c>
      <c r="J318" s="6" t="s">
        <v>74</v>
      </c>
      <c r="K318" s="6">
        <v>400</v>
      </c>
      <c r="L318" s="6" t="s">
        <v>267</v>
      </c>
      <c r="M318" s="6" t="s">
        <v>10</v>
      </c>
      <c r="N318" s="6" t="s">
        <v>11</v>
      </c>
      <c r="O318" s="6" t="s">
        <v>41</v>
      </c>
      <c r="P318" s="6" t="s">
        <v>277</v>
      </c>
      <c r="Q318" s="6" t="s">
        <v>149</v>
      </c>
      <c r="R318" s="8">
        <v>0</v>
      </c>
      <c r="S318" s="8">
        <v>2.33</v>
      </c>
      <c r="T318" s="8">
        <v>4.7300000000000004</v>
      </c>
      <c r="U318" s="8">
        <v>7.06</v>
      </c>
      <c r="V318" s="6" t="s">
        <v>1592</v>
      </c>
      <c r="W318" s="6" t="s">
        <v>165</v>
      </c>
    </row>
    <row r="319" spans="1:23">
      <c r="A319" s="6">
        <v>316</v>
      </c>
      <c r="B319" s="7" t="s">
        <v>1593</v>
      </c>
      <c r="C319" s="7" t="s">
        <v>121</v>
      </c>
      <c r="D319" s="6" t="s">
        <v>22</v>
      </c>
      <c r="E319" s="6" t="s">
        <v>1594</v>
      </c>
      <c r="F319" s="6" t="s">
        <v>70</v>
      </c>
      <c r="G319" s="6" t="s">
        <v>573</v>
      </c>
      <c r="H319" s="7" t="s">
        <v>1595</v>
      </c>
      <c r="I319" s="6" t="s">
        <v>86</v>
      </c>
      <c r="J319" s="6" t="s">
        <v>125</v>
      </c>
      <c r="K319" s="6">
        <v>6</v>
      </c>
      <c r="L319" s="6" t="s">
        <v>199</v>
      </c>
      <c r="M319" s="6" t="s">
        <v>8</v>
      </c>
      <c r="N319" s="6" t="s">
        <v>11</v>
      </c>
      <c r="O319" s="6" t="s">
        <v>43</v>
      </c>
      <c r="P319" s="6" t="s">
        <v>192</v>
      </c>
      <c r="Q319" s="6" t="s">
        <v>158</v>
      </c>
      <c r="R319" s="8">
        <v>12.3</v>
      </c>
      <c r="S319" s="8">
        <v>353.15</v>
      </c>
      <c r="T319" s="8">
        <v>0</v>
      </c>
      <c r="U319" s="8">
        <v>353.15</v>
      </c>
      <c r="V319" s="6" t="s">
        <v>121</v>
      </c>
      <c r="W319" s="6" t="s">
        <v>263</v>
      </c>
    </row>
    <row r="320" spans="1:23">
      <c r="A320" s="6">
        <v>317</v>
      </c>
      <c r="B320" s="7" t="s">
        <v>1596</v>
      </c>
      <c r="C320" s="7" t="s">
        <v>121</v>
      </c>
      <c r="D320" s="6" t="s">
        <v>24</v>
      </c>
      <c r="E320" s="6" t="s">
        <v>1597</v>
      </c>
      <c r="F320" s="6" t="s">
        <v>70</v>
      </c>
      <c r="G320" s="6" t="s">
        <v>1370</v>
      </c>
      <c r="H320" s="7" t="s">
        <v>1598</v>
      </c>
      <c r="I320" s="6" t="s">
        <v>86</v>
      </c>
      <c r="J320" s="6" t="s">
        <v>74</v>
      </c>
      <c r="K320" s="6">
        <v>600</v>
      </c>
      <c r="L320" s="6" t="s">
        <v>116</v>
      </c>
      <c r="M320" s="6" t="s">
        <v>10</v>
      </c>
      <c r="N320" s="6" t="s">
        <v>13</v>
      </c>
      <c r="O320" s="6" t="s">
        <v>39</v>
      </c>
      <c r="P320" s="6" t="s">
        <v>433</v>
      </c>
      <c r="Q320" s="6" t="s">
        <v>434</v>
      </c>
      <c r="R320" s="8">
        <v>8.8000000000000007</v>
      </c>
      <c r="S320" s="8">
        <v>324.52</v>
      </c>
      <c r="T320" s="8">
        <v>30.91</v>
      </c>
      <c r="U320" s="8">
        <v>355.43</v>
      </c>
      <c r="V320" s="6" t="s">
        <v>1308</v>
      </c>
      <c r="W320" s="6" t="s">
        <v>348</v>
      </c>
    </row>
    <row r="321" spans="1:23">
      <c r="A321" s="6">
        <v>318</v>
      </c>
      <c r="B321" s="7" t="s">
        <v>1599</v>
      </c>
      <c r="C321" s="7" t="s">
        <v>121</v>
      </c>
      <c r="D321" s="6" t="s">
        <v>20</v>
      </c>
      <c r="E321" s="6" t="s">
        <v>1600</v>
      </c>
      <c r="F321" s="6" t="s">
        <v>83</v>
      </c>
      <c r="G321" s="6" t="s">
        <v>1601</v>
      </c>
      <c r="H321" s="7" t="s">
        <v>1602</v>
      </c>
      <c r="I321" s="6" t="s">
        <v>86</v>
      </c>
      <c r="J321" s="6" t="s">
        <v>125</v>
      </c>
      <c r="K321" s="6">
        <v>60</v>
      </c>
      <c r="L321" s="6" t="s">
        <v>107</v>
      </c>
      <c r="M321" s="6" t="s">
        <v>8</v>
      </c>
      <c r="N321" s="6" t="s">
        <v>15</v>
      </c>
      <c r="O321" s="6" t="s">
        <v>156</v>
      </c>
      <c r="P321" s="6" t="s">
        <v>178</v>
      </c>
      <c r="Q321" s="6" t="s">
        <v>179</v>
      </c>
      <c r="R321" s="8">
        <v>10.6</v>
      </c>
      <c r="S321" s="8">
        <v>361.23</v>
      </c>
      <c r="T321" s="8">
        <v>0</v>
      </c>
      <c r="U321" s="8">
        <v>361.23</v>
      </c>
      <c r="V321" s="6" t="s">
        <v>121</v>
      </c>
      <c r="W321" s="6" t="s">
        <v>173</v>
      </c>
    </row>
    <row r="322" spans="1:23">
      <c r="A322" s="6">
        <v>319</v>
      </c>
      <c r="B322" s="7" t="s">
        <v>1603</v>
      </c>
      <c r="C322" s="7" t="s">
        <v>121</v>
      </c>
      <c r="D322" s="6" t="s">
        <v>32</v>
      </c>
      <c r="E322" s="6" t="s">
        <v>1604</v>
      </c>
      <c r="F322" s="6" t="s">
        <v>83</v>
      </c>
      <c r="G322" s="6" t="s">
        <v>489</v>
      </c>
      <c r="H322" s="7" t="s">
        <v>1605</v>
      </c>
      <c r="I322" s="6" t="s">
        <v>86</v>
      </c>
      <c r="J322" s="6" t="s">
        <v>74</v>
      </c>
      <c r="K322" s="6">
        <v>400</v>
      </c>
      <c r="L322" s="6" t="s">
        <v>138</v>
      </c>
      <c r="M322" s="6" t="s">
        <v>12</v>
      </c>
      <c r="N322" s="6" t="s">
        <v>13</v>
      </c>
      <c r="O322" s="6" t="s">
        <v>35</v>
      </c>
      <c r="P322" s="6" t="s">
        <v>172</v>
      </c>
      <c r="Q322" s="6" t="s">
        <v>225</v>
      </c>
      <c r="R322" s="8">
        <v>7.1</v>
      </c>
      <c r="S322" s="8">
        <v>317.83</v>
      </c>
      <c r="T322" s="8">
        <v>11.53</v>
      </c>
      <c r="U322" s="8">
        <v>329.36</v>
      </c>
      <c r="V322" s="6" t="s">
        <v>1606</v>
      </c>
      <c r="W322" s="6" t="s">
        <v>151</v>
      </c>
    </row>
    <row r="323" spans="1:23">
      <c r="A323" s="6">
        <v>320</v>
      </c>
      <c r="B323" s="7" t="s">
        <v>1607</v>
      </c>
      <c r="C323" s="7" t="s">
        <v>121</v>
      </c>
      <c r="D323" s="6" t="s">
        <v>26</v>
      </c>
      <c r="E323" s="6" t="s">
        <v>1608</v>
      </c>
      <c r="F323" s="6" t="s">
        <v>345</v>
      </c>
      <c r="G323" s="6" t="s">
        <v>346</v>
      </c>
      <c r="H323" s="7" t="s">
        <v>1609</v>
      </c>
      <c r="I323" s="6" t="s">
        <v>137</v>
      </c>
      <c r="J323" s="6" t="s">
        <v>125</v>
      </c>
      <c r="K323" s="6">
        <v>40</v>
      </c>
      <c r="L323" s="6" t="s">
        <v>327</v>
      </c>
      <c r="M323" s="6" t="s">
        <v>14</v>
      </c>
      <c r="N323" s="6" t="s">
        <v>11</v>
      </c>
      <c r="O323" s="6" t="s">
        <v>43</v>
      </c>
      <c r="P323" s="6" t="s">
        <v>99</v>
      </c>
      <c r="Q323" s="6" t="s">
        <v>139</v>
      </c>
      <c r="R323" s="8">
        <v>0</v>
      </c>
      <c r="S323" s="8">
        <v>3.51</v>
      </c>
      <c r="T323" s="8">
        <v>0</v>
      </c>
      <c r="U323" s="8">
        <v>3.51</v>
      </c>
      <c r="V323" s="6" t="s">
        <v>121</v>
      </c>
      <c r="W323" s="6" t="s">
        <v>348</v>
      </c>
    </row>
    <row r="324" spans="1:23">
      <c r="A324" s="6">
        <v>321</v>
      </c>
      <c r="B324" s="7" t="s">
        <v>1610</v>
      </c>
      <c r="C324" s="7" t="s">
        <v>121</v>
      </c>
      <c r="D324" s="6" t="s">
        <v>24</v>
      </c>
      <c r="E324" s="6" t="s">
        <v>1611</v>
      </c>
      <c r="F324" s="6" t="s">
        <v>70</v>
      </c>
      <c r="G324" s="6" t="s">
        <v>1267</v>
      </c>
      <c r="H324" s="7" t="s">
        <v>1612</v>
      </c>
      <c r="I324" s="6" t="s">
        <v>137</v>
      </c>
      <c r="J324" s="6" t="s">
        <v>125</v>
      </c>
      <c r="K324" s="6">
        <v>6</v>
      </c>
      <c r="L324" s="6" t="s">
        <v>327</v>
      </c>
      <c r="M324" s="6" t="s">
        <v>8</v>
      </c>
      <c r="N324" s="6" t="s">
        <v>11</v>
      </c>
      <c r="O324" s="6" t="s">
        <v>33</v>
      </c>
      <c r="P324" s="6" t="s">
        <v>128</v>
      </c>
      <c r="Q324" s="6" t="s">
        <v>129</v>
      </c>
      <c r="R324" s="8">
        <v>0</v>
      </c>
      <c r="S324" s="8">
        <v>3</v>
      </c>
      <c r="T324" s="8">
        <v>0</v>
      </c>
      <c r="U324" s="8">
        <v>3</v>
      </c>
      <c r="V324" s="6" t="s">
        <v>121</v>
      </c>
      <c r="W324" s="6" t="s">
        <v>131</v>
      </c>
    </row>
    <row r="325" spans="1:23">
      <c r="A325" s="6">
        <v>322</v>
      </c>
      <c r="B325" s="7" t="s">
        <v>1613</v>
      </c>
      <c r="C325" s="7" t="s">
        <v>121</v>
      </c>
      <c r="D325" s="6" t="s">
        <v>26</v>
      </c>
      <c r="E325" s="6" t="s">
        <v>1614</v>
      </c>
      <c r="F325" s="6" t="s">
        <v>345</v>
      </c>
      <c r="G325" s="6" t="s">
        <v>1615</v>
      </c>
      <c r="H325" s="7" t="s">
        <v>1616</v>
      </c>
      <c r="I325" s="6" t="s">
        <v>86</v>
      </c>
      <c r="J325" s="6" t="s">
        <v>125</v>
      </c>
      <c r="K325" s="6">
        <v>40</v>
      </c>
      <c r="L325" s="6" t="s">
        <v>199</v>
      </c>
      <c r="M325" s="6" t="s">
        <v>12</v>
      </c>
      <c r="N325" s="6" t="s">
        <v>9</v>
      </c>
      <c r="O325" s="6" t="s">
        <v>21</v>
      </c>
      <c r="P325" s="6" t="s">
        <v>172</v>
      </c>
      <c r="Q325" s="6" t="s">
        <v>149</v>
      </c>
      <c r="R325" s="8">
        <v>2.6</v>
      </c>
      <c r="S325" s="8">
        <v>84.19</v>
      </c>
      <c r="T325" s="8">
        <v>38.5</v>
      </c>
      <c r="U325" s="8">
        <v>122.69</v>
      </c>
      <c r="V325" s="6" t="s">
        <v>1617</v>
      </c>
      <c r="W325" s="6" t="s">
        <v>207</v>
      </c>
    </row>
    <row r="326" spans="1:23">
      <c r="A326" s="6">
        <v>323</v>
      </c>
      <c r="B326" s="7" t="s">
        <v>1618</v>
      </c>
      <c r="C326" s="7" t="s">
        <v>1619</v>
      </c>
      <c r="D326" s="6" t="s">
        <v>22</v>
      </c>
      <c r="E326" s="6" t="s">
        <v>1620</v>
      </c>
      <c r="F326" s="6" t="s">
        <v>83</v>
      </c>
      <c r="G326" s="6" t="s">
        <v>390</v>
      </c>
      <c r="H326" s="7" t="s">
        <v>1621</v>
      </c>
      <c r="I326" s="6" t="s">
        <v>73</v>
      </c>
      <c r="J326" s="6" t="s">
        <v>74</v>
      </c>
      <c r="K326" s="6">
        <v>400</v>
      </c>
      <c r="L326" s="6" t="s">
        <v>75</v>
      </c>
      <c r="M326" s="6" t="s">
        <v>8</v>
      </c>
      <c r="N326" s="6" t="s">
        <v>11</v>
      </c>
      <c r="O326" s="6" t="s">
        <v>41</v>
      </c>
      <c r="P326" s="6" t="s">
        <v>128</v>
      </c>
      <c r="Q326" s="6" t="s">
        <v>129</v>
      </c>
      <c r="R326" s="8">
        <v>7.8</v>
      </c>
      <c r="S326" s="8">
        <v>100.42</v>
      </c>
      <c r="T326" s="8">
        <v>0</v>
      </c>
      <c r="U326" s="8">
        <v>100.42</v>
      </c>
      <c r="V326" s="6" t="s">
        <v>121</v>
      </c>
      <c r="W326" s="6" t="s">
        <v>242</v>
      </c>
    </row>
    <row r="327" spans="1:23">
      <c r="A327" s="6">
        <v>324</v>
      </c>
      <c r="B327" s="7" t="s">
        <v>1622</v>
      </c>
      <c r="C327" s="7" t="s">
        <v>121</v>
      </c>
      <c r="D327" s="6" t="s">
        <v>36</v>
      </c>
      <c r="E327" s="6" t="s">
        <v>1623</v>
      </c>
      <c r="F327" s="6" t="s">
        <v>70</v>
      </c>
      <c r="G327" s="6" t="s">
        <v>1577</v>
      </c>
      <c r="H327" s="7" t="s">
        <v>1624</v>
      </c>
      <c r="I327" s="6" t="s">
        <v>73</v>
      </c>
      <c r="J327" s="6" t="s">
        <v>125</v>
      </c>
      <c r="K327" s="6">
        <v>60</v>
      </c>
      <c r="L327" s="6" t="s">
        <v>138</v>
      </c>
      <c r="M327" s="6" t="s">
        <v>8</v>
      </c>
      <c r="N327" s="6" t="s">
        <v>9</v>
      </c>
      <c r="O327" s="6" t="s">
        <v>29</v>
      </c>
      <c r="P327" s="6" t="s">
        <v>76</v>
      </c>
      <c r="Q327" s="6" t="s">
        <v>149</v>
      </c>
      <c r="R327" s="8">
        <v>1.9</v>
      </c>
      <c r="S327" s="8">
        <v>81.400000000000006</v>
      </c>
      <c r="T327" s="8">
        <v>0</v>
      </c>
      <c r="U327" s="8">
        <v>81.400000000000006</v>
      </c>
      <c r="V327" s="6" t="s">
        <v>121</v>
      </c>
      <c r="W327" s="6" t="s">
        <v>257</v>
      </c>
    </row>
    <row r="328" spans="1:23">
      <c r="A328" s="6">
        <v>325</v>
      </c>
      <c r="B328" s="7" t="s">
        <v>1625</v>
      </c>
      <c r="C328" s="7" t="s">
        <v>121</v>
      </c>
      <c r="D328" s="6" t="s">
        <v>24</v>
      </c>
      <c r="E328" s="6" t="s">
        <v>1626</v>
      </c>
      <c r="F328" s="6" t="s">
        <v>70</v>
      </c>
      <c r="G328" s="6" t="s">
        <v>761</v>
      </c>
      <c r="H328" s="7" t="s">
        <v>1627</v>
      </c>
      <c r="I328" s="6" t="s">
        <v>137</v>
      </c>
      <c r="J328" s="6" t="s">
        <v>74</v>
      </c>
      <c r="K328" s="6">
        <v>200</v>
      </c>
      <c r="L328" s="6" t="s">
        <v>327</v>
      </c>
      <c r="M328" s="6" t="s">
        <v>10</v>
      </c>
      <c r="N328" s="6" t="s">
        <v>9</v>
      </c>
      <c r="O328" s="6" t="s">
        <v>29</v>
      </c>
      <c r="P328" s="6" t="s">
        <v>277</v>
      </c>
      <c r="Q328" s="6" t="s">
        <v>149</v>
      </c>
      <c r="R328" s="8">
        <v>0</v>
      </c>
      <c r="S328" s="8">
        <v>3.56</v>
      </c>
      <c r="T328" s="8">
        <v>16.16</v>
      </c>
      <c r="U328" s="8">
        <v>19.72</v>
      </c>
      <c r="V328" s="6" t="s">
        <v>1628</v>
      </c>
      <c r="W328" s="6" t="s">
        <v>368</v>
      </c>
    </row>
    <row r="329" spans="1:23">
      <c r="A329" s="6">
        <v>326</v>
      </c>
      <c r="B329" s="7" t="s">
        <v>1629</v>
      </c>
      <c r="C329" s="7" t="s">
        <v>1630</v>
      </c>
      <c r="D329" s="6" t="s">
        <v>34</v>
      </c>
      <c r="E329" s="6" t="s">
        <v>1631</v>
      </c>
      <c r="F329" s="6" t="s">
        <v>83</v>
      </c>
      <c r="G329" s="6" t="s">
        <v>1632</v>
      </c>
      <c r="H329" s="7" t="s">
        <v>1633</v>
      </c>
      <c r="I329" s="6" t="s">
        <v>137</v>
      </c>
      <c r="J329" s="6" t="s">
        <v>74</v>
      </c>
      <c r="K329" s="6">
        <v>200</v>
      </c>
      <c r="L329" s="6" t="s">
        <v>171</v>
      </c>
      <c r="M329" s="6" t="s">
        <v>10</v>
      </c>
      <c r="N329" s="6" t="s">
        <v>9</v>
      </c>
      <c r="O329" s="6" t="s">
        <v>29</v>
      </c>
      <c r="P329" s="6" t="s">
        <v>277</v>
      </c>
      <c r="Q329" s="6" t="s">
        <v>149</v>
      </c>
      <c r="R329" s="8">
        <v>0</v>
      </c>
      <c r="S329" s="8">
        <v>1.29</v>
      </c>
      <c r="T329" s="8">
        <v>7.51</v>
      </c>
      <c r="U329" s="8">
        <v>8.8000000000000007</v>
      </c>
      <c r="V329" s="6" t="s">
        <v>1634</v>
      </c>
      <c r="W329" s="6" t="s">
        <v>219</v>
      </c>
    </row>
    <row r="330" spans="1:23">
      <c r="A330" s="6">
        <v>327</v>
      </c>
      <c r="B330" s="7" t="s">
        <v>1635</v>
      </c>
      <c r="C330" s="7" t="s">
        <v>1636</v>
      </c>
      <c r="D330" s="6" t="s">
        <v>20</v>
      </c>
      <c r="E330" s="6" t="s">
        <v>1637</v>
      </c>
      <c r="F330" s="6" t="s">
        <v>83</v>
      </c>
      <c r="G330" s="6" t="s">
        <v>1245</v>
      </c>
      <c r="H330" s="7" t="s">
        <v>1638</v>
      </c>
      <c r="I330" s="6" t="s">
        <v>73</v>
      </c>
      <c r="J330" s="6" t="s">
        <v>74</v>
      </c>
      <c r="K330" s="6">
        <v>400</v>
      </c>
      <c r="L330" s="6" t="s">
        <v>171</v>
      </c>
      <c r="M330" s="6" t="s">
        <v>10</v>
      </c>
      <c r="N330" s="6" t="s">
        <v>13</v>
      </c>
      <c r="O330" s="6" t="s">
        <v>425</v>
      </c>
      <c r="P330" s="6" t="s">
        <v>172</v>
      </c>
      <c r="Q330" s="6" t="s">
        <v>149</v>
      </c>
      <c r="R330" s="8">
        <v>1.6</v>
      </c>
      <c r="S330" s="8">
        <v>60.32</v>
      </c>
      <c r="T330" s="8">
        <v>29.73</v>
      </c>
      <c r="U330" s="8">
        <v>90.05</v>
      </c>
      <c r="V330" s="6" t="s">
        <v>204</v>
      </c>
      <c r="W330" s="6" t="s">
        <v>744</v>
      </c>
    </row>
    <row r="331" spans="1:23">
      <c r="A331" s="6">
        <v>328</v>
      </c>
      <c r="B331" s="7" t="s">
        <v>1639</v>
      </c>
      <c r="C331" s="7" t="s">
        <v>1640</v>
      </c>
      <c r="D331" s="6" t="s">
        <v>20</v>
      </c>
      <c r="E331" s="6" t="s">
        <v>1641</v>
      </c>
      <c r="F331" s="6" t="s">
        <v>83</v>
      </c>
      <c r="G331" s="6" t="s">
        <v>1642</v>
      </c>
      <c r="H331" s="7" t="s">
        <v>1643</v>
      </c>
      <c r="I331" s="6" t="s">
        <v>73</v>
      </c>
      <c r="J331" s="6" t="s">
        <v>125</v>
      </c>
      <c r="K331" s="6">
        <v>6</v>
      </c>
      <c r="L331" s="6" t="s">
        <v>241</v>
      </c>
      <c r="M331" s="6" t="s">
        <v>8</v>
      </c>
      <c r="N331" s="6" t="s">
        <v>11</v>
      </c>
      <c r="O331" s="6" t="s">
        <v>43</v>
      </c>
      <c r="P331" s="6" t="s">
        <v>256</v>
      </c>
      <c r="Q331" s="6" t="s">
        <v>149</v>
      </c>
      <c r="R331" s="8">
        <v>6.5</v>
      </c>
      <c r="S331" s="8">
        <v>231.99</v>
      </c>
      <c r="T331" s="8">
        <v>0</v>
      </c>
      <c r="U331" s="8">
        <v>231.99</v>
      </c>
      <c r="V331" s="6" t="s">
        <v>121</v>
      </c>
      <c r="W331" s="6" t="s">
        <v>173</v>
      </c>
    </row>
    <row r="332" spans="1:23">
      <c r="A332" s="6">
        <v>329</v>
      </c>
      <c r="B332" s="7" t="s">
        <v>1644</v>
      </c>
      <c r="C332" s="7" t="s">
        <v>1645</v>
      </c>
      <c r="D332" s="6" t="s">
        <v>32</v>
      </c>
      <c r="E332" s="6" t="s">
        <v>1646</v>
      </c>
      <c r="F332" s="6" t="s">
        <v>83</v>
      </c>
      <c r="G332" s="6" t="s">
        <v>1524</v>
      </c>
      <c r="H332" s="7" t="s">
        <v>1647</v>
      </c>
      <c r="I332" s="6" t="s">
        <v>86</v>
      </c>
      <c r="J332" s="6" t="s">
        <v>74</v>
      </c>
      <c r="K332" s="6">
        <v>200</v>
      </c>
      <c r="L332" s="6" t="s">
        <v>199</v>
      </c>
      <c r="M332" s="6" t="s">
        <v>14</v>
      </c>
      <c r="N332" s="6" t="s">
        <v>9</v>
      </c>
      <c r="O332" s="6" t="s">
        <v>23</v>
      </c>
      <c r="P332" s="6" t="s">
        <v>185</v>
      </c>
      <c r="Q332" s="6" t="s">
        <v>186</v>
      </c>
      <c r="R332" s="8">
        <v>0.2</v>
      </c>
      <c r="S332" s="8">
        <v>3.99</v>
      </c>
      <c r="T332" s="8">
        <v>0</v>
      </c>
      <c r="U332" s="8">
        <v>3.99</v>
      </c>
      <c r="V332" s="6" t="s">
        <v>121</v>
      </c>
      <c r="W332" s="6" t="s">
        <v>110</v>
      </c>
    </row>
    <row r="333" spans="1:23">
      <c r="A333" s="6">
        <v>330</v>
      </c>
      <c r="B333" s="7" t="s">
        <v>1648</v>
      </c>
      <c r="C333" s="7" t="s">
        <v>121</v>
      </c>
      <c r="D333" s="6" t="s">
        <v>40</v>
      </c>
      <c r="E333" s="6" t="s">
        <v>1649</v>
      </c>
      <c r="F333" s="6" t="s">
        <v>70</v>
      </c>
      <c r="G333" s="6" t="s">
        <v>1650</v>
      </c>
      <c r="H333" s="7" t="s">
        <v>1651</v>
      </c>
      <c r="I333" s="6" t="s">
        <v>73</v>
      </c>
      <c r="J333" s="6" t="s">
        <v>74</v>
      </c>
      <c r="K333" s="6">
        <v>200</v>
      </c>
      <c r="L333" s="6" t="s">
        <v>75</v>
      </c>
      <c r="M333" s="6" t="s">
        <v>12</v>
      </c>
      <c r="N333" s="6" t="s">
        <v>9</v>
      </c>
      <c r="O333" s="6" t="s">
        <v>27</v>
      </c>
      <c r="P333" s="6" t="s">
        <v>200</v>
      </c>
      <c r="Q333" s="6" t="s">
        <v>129</v>
      </c>
      <c r="R333" s="8">
        <v>3.8</v>
      </c>
      <c r="S333" s="8">
        <v>87.05</v>
      </c>
      <c r="T333" s="8">
        <v>31.3</v>
      </c>
      <c r="U333" s="8">
        <v>118.35</v>
      </c>
      <c r="V333" s="6" t="s">
        <v>1652</v>
      </c>
      <c r="W333" s="6" t="s">
        <v>257</v>
      </c>
    </row>
    <row r="334" spans="1:23">
      <c r="A334" s="6">
        <v>331</v>
      </c>
      <c r="B334" s="7" t="s">
        <v>1653</v>
      </c>
      <c r="C334" s="7" t="s">
        <v>767</v>
      </c>
      <c r="D334" s="6" t="s">
        <v>26</v>
      </c>
      <c r="E334" s="6" t="s">
        <v>1654</v>
      </c>
      <c r="F334" s="6" t="s">
        <v>83</v>
      </c>
      <c r="G334" s="6" t="s">
        <v>1328</v>
      </c>
      <c r="H334" s="7" t="s">
        <v>1655</v>
      </c>
      <c r="I334" s="6" t="s">
        <v>147</v>
      </c>
      <c r="J334" s="6" t="s">
        <v>125</v>
      </c>
      <c r="K334" s="6">
        <v>6</v>
      </c>
      <c r="L334" s="6" t="s">
        <v>241</v>
      </c>
      <c r="M334" s="6" t="s">
        <v>8</v>
      </c>
      <c r="N334" s="6" t="s">
        <v>13</v>
      </c>
      <c r="O334" s="6" t="s">
        <v>35</v>
      </c>
      <c r="P334" s="6" t="s">
        <v>256</v>
      </c>
      <c r="Q334" s="6" t="s">
        <v>149</v>
      </c>
      <c r="R334" s="8">
        <v>14.6</v>
      </c>
      <c r="S334" s="8">
        <v>565.97</v>
      </c>
      <c r="T334" s="8">
        <v>0</v>
      </c>
      <c r="U334" s="8">
        <v>565.97</v>
      </c>
      <c r="V334" s="6" t="s">
        <v>121</v>
      </c>
      <c r="W334" s="6" t="s">
        <v>284</v>
      </c>
    </row>
    <row r="335" spans="1:23">
      <c r="A335" s="6">
        <v>332</v>
      </c>
      <c r="B335" s="7" t="s">
        <v>1656</v>
      </c>
      <c r="C335" s="7" t="s">
        <v>1657</v>
      </c>
      <c r="D335" s="6" t="s">
        <v>36</v>
      </c>
      <c r="E335" s="6" t="s">
        <v>1658</v>
      </c>
      <c r="F335" s="6" t="s">
        <v>83</v>
      </c>
      <c r="G335" s="6" t="s">
        <v>1659</v>
      </c>
      <c r="H335" s="7" t="s">
        <v>1660</v>
      </c>
      <c r="I335" s="6" t="s">
        <v>137</v>
      </c>
      <c r="J335" s="6" t="s">
        <v>74</v>
      </c>
      <c r="K335" s="6">
        <v>200</v>
      </c>
      <c r="L335" s="6" t="s">
        <v>126</v>
      </c>
      <c r="M335" s="6" t="s">
        <v>12</v>
      </c>
      <c r="N335" s="6" t="s">
        <v>9</v>
      </c>
      <c r="O335" s="6" t="s">
        <v>23</v>
      </c>
      <c r="P335" s="6" t="s">
        <v>256</v>
      </c>
      <c r="Q335" s="6" t="s">
        <v>149</v>
      </c>
      <c r="R335" s="8">
        <v>0</v>
      </c>
      <c r="S335" s="8">
        <v>3.1</v>
      </c>
      <c r="T335" s="8">
        <v>11.39</v>
      </c>
      <c r="U335" s="8">
        <v>14.49</v>
      </c>
      <c r="V335" s="6" t="s">
        <v>1661</v>
      </c>
      <c r="W335" s="6" t="s">
        <v>242</v>
      </c>
    </row>
    <row r="336" spans="1:23">
      <c r="A336" s="6">
        <v>333</v>
      </c>
      <c r="B336" s="7" t="s">
        <v>1662</v>
      </c>
      <c r="C336" s="7" t="s">
        <v>121</v>
      </c>
      <c r="D336" s="6" t="s">
        <v>24</v>
      </c>
      <c r="E336" s="6" t="s">
        <v>1663</v>
      </c>
      <c r="F336" s="6" t="s">
        <v>83</v>
      </c>
      <c r="G336" s="6" t="s">
        <v>1664</v>
      </c>
      <c r="H336" s="7" t="s">
        <v>1665</v>
      </c>
      <c r="I336" s="6" t="s">
        <v>73</v>
      </c>
      <c r="J336" s="6" t="s">
        <v>74</v>
      </c>
      <c r="K336" s="6">
        <v>400</v>
      </c>
      <c r="L336" s="6" t="s">
        <v>138</v>
      </c>
      <c r="M336" s="6" t="s">
        <v>8</v>
      </c>
      <c r="N336" s="6" t="s">
        <v>15</v>
      </c>
      <c r="O336" s="6" t="s">
        <v>127</v>
      </c>
      <c r="P336" s="6" t="s">
        <v>248</v>
      </c>
      <c r="Q336" s="6" t="s">
        <v>249</v>
      </c>
      <c r="R336" s="8">
        <v>10.9</v>
      </c>
      <c r="S336" s="8">
        <v>312.26</v>
      </c>
      <c r="T336" s="8">
        <v>0</v>
      </c>
      <c r="U336" s="8">
        <v>312.26</v>
      </c>
      <c r="V336" s="6" t="s">
        <v>121</v>
      </c>
      <c r="W336" s="6" t="s">
        <v>368</v>
      </c>
    </row>
    <row r="337" spans="1:23">
      <c r="A337" s="6">
        <v>334</v>
      </c>
      <c r="B337" s="7" t="s">
        <v>1666</v>
      </c>
      <c r="C337" s="7" t="s">
        <v>1667</v>
      </c>
      <c r="D337" s="6" t="s">
        <v>26</v>
      </c>
      <c r="E337" s="6" t="s">
        <v>1668</v>
      </c>
      <c r="F337" s="6" t="s">
        <v>83</v>
      </c>
      <c r="G337" s="6" t="s">
        <v>1669</v>
      </c>
      <c r="H337" s="7" t="s">
        <v>1670</v>
      </c>
      <c r="I337" s="6" t="s">
        <v>73</v>
      </c>
      <c r="J337" s="6" t="s">
        <v>74</v>
      </c>
      <c r="K337" s="6">
        <v>400</v>
      </c>
      <c r="L337" s="6" t="s">
        <v>116</v>
      </c>
      <c r="M337" s="6" t="s">
        <v>8</v>
      </c>
      <c r="N337" s="6" t="s">
        <v>13</v>
      </c>
      <c r="O337" s="6" t="s">
        <v>35</v>
      </c>
      <c r="P337" s="6" t="s">
        <v>99</v>
      </c>
      <c r="Q337" s="6" t="s">
        <v>139</v>
      </c>
      <c r="R337" s="8">
        <v>4.5999999999999996</v>
      </c>
      <c r="S337" s="8">
        <v>53.94</v>
      </c>
      <c r="T337" s="8">
        <v>0</v>
      </c>
      <c r="U337" s="8">
        <v>53.94</v>
      </c>
      <c r="V337" s="6" t="s">
        <v>121</v>
      </c>
      <c r="W337" s="6" t="s">
        <v>173</v>
      </c>
    </row>
    <row r="338" spans="1:23">
      <c r="A338" s="6">
        <v>335</v>
      </c>
      <c r="B338" s="7" t="s">
        <v>1671</v>
      </c>
      <c r="C338" s="7" t="s">
        <v>1672</v>
      </c>
      <c r="D338" s="6" t="s">
        <v>20</v>
      </c>
      <c r="E338" s="6" t="s">
        <v>1673</v>
      </c>
      <c r="F338" s="6" t="s">
        <v>83</v>
      </c>
      <c r="G338" s="6" t="s">
        <v>1674</v>
      </c>
      <c r="H338" s="7" t="s">
        <v>1675</v>
      </c>
      <c r="I338" s="6" t="s">
        <v>73</v>
      </c>
      <c r="J338" s="6" t="s">
        <v>125</v>
      </c>
      <c r="K338" s="6">
        <v>6</v>
      </c>
      <c r="L338" s="6" t="s">
        <v>163</v>
      </c>
      <c r="M338" s="6" t="s">
        <v>12</v>
      </c>
      <c r="N338" s="6" t="s">
        <v>13</v>
      </c>
      <c r="O338" s="6" t="s">
        <v>37</v>
      </c>
      <c r="P338" s="6" t="s">
        <v>117</v>
      </c>
      <c r="Q338" s="6" t="s">
        <v>158</v>
      </c>
      <c r="R338" s="8">
        <v>1.1000000000000001</v>
      </c>
      <c r="S338" s="8">
        <v>50.73</v>
      </c>
      <c r="T338" s="8">
        <v>10.66</v>
      </c>
      <c r="U338" s="8">
        <v>61.39</v>
      </c>
      <c r="V338" s="6" t="s">
        <v>1676</v>
      </c>
      <c r="W338" s="6" t="s">
        <v>101</v>
      </c>
    </row>
    <row r="339" spans="1:23" ht="22.35">
      <c r="A339" s="6">
        <v>336</v>
      </c>
      <c r="B339" s="7" t="s">
        <v>1677</v>
      </c>
      <c r="C339" s="7" t="s">
        <v>121</v>
      </c>
      <c r="D339" s="6" t="s">
        <v>34</v>
      </c>
      <c r="E339" s="6" t="s">
        <v>1678</v>
      </c>
      <c r="F339" s="6" t="s">
        <v>83</v>
      </c>
      <c r="G339" s="6" t="s">
        <v>755</v>
      </c>
      <c r="H339" s="7" t="s">
        <v>1679</v>
      </c>
      <c r="I339" s="6" t="s">
        <v>73</v>
      </c>
      <c r="J339" s="6" t="s">
        <v>125</v>
      </c>
      <c r="K339" s="6">
        <v>40</v>
      </c>
      <c r="L339" s="6" t="s">
        <v>163</v>
      </c>
      <c r="M339" s="6" t="s">
        <v>16</v>
      </c>
      <c r="N339" s="6" t="s">
        <v>15</v>
      </c>
      <c r="O339" s="6" t="s">
        <v>156</v>
      </c>
      <c r="P339" s="6" t="s">
        <v>256</v>
      </c>
      <c r="Q339" s="6" t="s">
        <v>149</v>
      </c>
      <c r="R339" s="8">
        <v>5</v>
      </c>
      <c r="S339" s="8">
        <v>80.64</v>
      </c>
      <c r="T339" s="8">
        <v>0</v>
      </c>
      <c r="U339" s="8">
        <v>80.64</v>
      </c>
      <c r="V339" s="6" t="s">
        <v>121</v>
      </c>
      <c r="W339" s="6" t="s">
        <v>193</v>
      </c>
    </row>
    <row r="340" spans="1:23">
      <c r="A340" s="6">
        <v>337</v>
      </c>
      <c r="B340" s="7" t="s">
        <v>1680</v>
      </c>
      <c r="C340" s="7" t="s">
        <v>1681</v>
      </c>
      <c r="D340" s="6" t="s">
        <v>26</v>
      </c>
      <c r="E340" s="6" t="s">
        <v>1682</v>
      </c>
      <c r="F340" s="6" t="s">
        <v>83</v>
      </c>
      <c r="G340" s="6" t="s">
        <v>1683</v>
      </c>
      <c r="H340" s="7" t="s">
        <v>1684</v>
      </c>
      <c r="I340" s="6" t="s">
        <v>137</v>
      </c>
      <c r="J340" s="6" t="s">
        <v>125</v>
      </c>
      <c r="K340" s="6">
        <v>6</v>
      </c>
      <c r="L340" s="6" t="s">
        <v>116</v>
      </c>
      <c r="M340" s="6" t="s">
        <v>12</v>
      </c>
      <c r="N340" s="6" t="s">
        <v>9</v>
      </c>
      <c r="O340" s="6" t="s">
        <v>23</v>
      </c>
      <c r="P340" s="6" t="s">
        <v>117</v>
      </c>
      <c r="Q340" s="6" t="s">
        <v>426</v>
      </c>
      <c r="R340" s="8">
        <v>0</v>
      </c>
      <c r="S340" s="8">
        <v>0.48</v>
      </c>
      <c r="T340" s="8">
        <v>18.010000000000002</v>
      </c>
      <c r="U340" s="8">
        <v>18.489999999999998</v>
      </c>
      <c r="V340" s="6" t="s">
        <v>1685</v>
      </c>
      <c r="W340" s="6" t="s">
        <v>110</v>
      </c>
    </row>
    <row r="341" spans="1:23">
      <c r="A341" s="6">
        <v>338</v>
      </c>
      <c r="B341" s="7" t="s">
        <v>1686</v>
      </c>
      <c r="C341" s="7" t="s">
        <v>1687</v>
      </c>
      <c r="D341" s="6" t="s">
        <v>32</v>
      </c>
      <c r="E341" s="6" t="s">
        <v>1688</v>
      </c>
      <c r="F341" s="6" t="s">
        <v>83</v>
      </c>
      <c r="G341" s="6" t="s">
        <v>1689</v>
      </c>
      <c r="H341" s="7" t="s">
        <v>1690</v>
      </c>
      <c r="I341" s="6" t="s">
        <v>73</v>
      </c>
      <c r="J341" s="6" t="s">
        <v>74</v>
      </c>
      <c r="K341" s="6">
        <v>600</v>
      </c>
      <c r="L341" s="6" t="s">
        <v>327</v>
      </c>
      <c r="M341" s="6" t="s">
        <v>12</v>
      </c>
      <c r="N341" s="6" t="s">
        <v>15</v>
      </c>
      <c r="O341" s="6" t="s">
        <v>29</v>
      </c>
      <c r="P341" s="6" t="s">
        <v>148</v>
      </c>
      <c r="Q341" s="6" t="s">
        <v>149</v>
      </c>
      <c r="R341" s="8">
        <v>8.4</v>
      </c>
      <c r="S341" s="8">
        <v>399.71</v>
      </c>
      <c r="T341" s="8">
        <v>12.32</v>
      </c>
      <c r="U341" s="8">
        <v>412.03</v>
      </c>
      <c r="V341" s="6" t="s">
        <v>1691</v>
      </c>
      <c r="W341" s="6" t="s">
        <v>511</v>
      </c>
    </row>
    <row r="342" spans="1:23">
      <c r="A342" s="6">
        <v>339</v>
      </c>
      <c r="B342" s="7" t="s">
        <v>1692</v>
      </c>
      <c r="C342" s="7" t="s">
        <v>1693</v>
      </c>
      <c r="D342" s="6" t="s">
        <v>32</v>
      </c>
      <c r="E342" s="6" t="s">
        <v>1694</v>
      </c>
      <c r="F342" s="6" t="s">
        <v>83</v>
      </c>
      <c r="G342" s="6" t="s">
        <v>1695</v>
      </c>
      <c r="H342" s="7" t="s">
        <v>1696</v>
      </c>
      <c r="I342" s="6" t="s">
        <v>137</v>
      </c>
      <c r="J342" s="6" t="s">
        <v>125</v>
      </c>
      <c r="K342" s="6">
        <v>40</v>
      </c>
      <c r="L342" s="6" t="s">
        <v>199</v>
      </c>
      <c r="M342" s="6" t="s">
        <v>8</v>
      </c>
      <c r="N342" s="6" t="s">
        <v>15</v>
      </c>
      <c r="O342" s="6" t="s">
        <v>156</v>
      </c>
      <c r="P342" s="6" t="s">
        <v>256</v>
      </c>
      <c r="Q342" s="6" t="s">
        <v>149</v>
      </c>
      <c r="R342" s="8">
        <v>0</v>
      </c>
      <c r="S342" s="8">
        <v>0.84</v>
      </c>
      <c r="T342" s="8">
        <v>0</v>
      </c>
      <c r="U342" s="8">
        <v>0.84</v>
      </c>
      <c r="V342" s="6" t="s">
        <v>121</v>
      </c>
      <c r="W342" s="6" t="s">
        <v>604</v>
      </c>
    </row>
    <row r="343" spans="1:23">
      <c r="A343" s="6">
        <v>340</v>
      </c>
      <c r="B343" s="7" t="s">
        <v>1697</v>
      </c>
      <c r="C343" s="7" t="s">
        <v>121</v>
      </c>
      <c r="D343" s="6" t="s">
        <v>40</v>
      </c>
      <c r="E343" s="6" t="s">
        <v>1698</v>
      </c>
      <c r="F343" s="6" t="s">
        <v>70</v>
      </c>
      <c r="G343" s="6" t="s">
        <v>751</v>
      </c>
      <c r="H343" s="7" t="s">
        <v>1699</v>
      </c>
      <c r="I343" s="6" t="s">
        <v>73</v>
      </c>
      <c r="J343" s="6" t="s">
        <v>87</v>
      </c>
      <c r="K343" s="6">
        <v>4000</v>
      </c>
      <c r="L343" s="6" t="s">
        <v>199</v>
      </c>
      <c r="M343" s="6" t="s">
        <v>12</v>
      </c>
      <c r="N343" s="6" t="s">
        <v>13</v>
      </c>
      <c r="O343" s="6" t="s">
        <v>37</v>
      </c>
      <c r="P343" s="6" t="s">
        <v>277</v>
      </c>
      <c r="Q343" s="6" t="s">
        <v>149</v>
      </c>
      <c r="R343" s="8">
        <v>14.3</v>
      </c>
      <c r="S343" s="8">
        <v>367</v>
      </c>
      <c r="T343" s="8">
        <v>39.74</v>
      </c>
      <c r="U343" s="8">
        <v>406.74</v>
      </c>
      <c r="V343" s="6" t="s">
        <v>1700</v>
      </c>
      <c r="W343" s="6" t="s">
        <v>242</v>
      </c>
    </row>
    <row r="344" spans="1:23">
      <c r="A344" s="6">
        <v>341</v>
      </c>
      <c r="B344" s="7" t="s">
        <v>1701</v>
      </c>
      <c r="C344" s="7" t="s">
        <v>121</v>
      </c>
      <c r="D344" s="6" t="s">
        <v>22</v>
      </c>
      <c r="E344" s="6" t="s">
        <v>1702</v>
      </c>
      <c r="F344" s="6" t="s">
        <v>83</v>
      </c>
      <c r="G344" s="6" t="s">
        <v>1703</v>
      </c>
      <c r="H344" s="7" t="s">
        <v>1704</v>
      </c>
      <c r="I344" s="6" t="s">
        <v>86</v>
      </c>
      <c r="J344" s="6" t="s">
        <v>74</v>
      </c>
      <c r="K344" s="6">
        <v>200</v>
      </c>
      <c r="L344" s="6" t="s">
        <v>267</v>
      </c>
      <c r="M344" s="6" t="s">
        <v>8</v>
      </c>
      <c r="N344" s="6" t="s">
        <v>11</v>
      </c>
      <c r="O344" s="6" t="s">
        <v>43</v>
      </c>
      <c r="P344" s="6" t="s">
        <v>185</v>
      </c>
      <c r="Q344" s="6" t="s">
        <v>186</v>
      </c>
      <c r="R344" s="8">
        <v>12.4</v>
      </c>
      <c r="S344" s="8">
        <v>186.57</v>
      </c>
      <c r="T344" s="8">
        <v>0</v>
      </c>
      <c r="U344" s="8">
        <v>186.57</v>
      </c>
      <c r="V344" s="6" t="s">
        <v>121</v>
      </c>
      <c r="W344" s="6" t="s">
        <v>263</v>
      </c>
    </row>
    <row r="345" spans="1:23">
      <c r="A345" s="6">
        <v>342</v>
      </c>
      <c r="B345" s="7" t="s">
        <v>1705</v>
      </c>
      <c r="C345" s="7" t="s">
        <v>121</v>
      </c>
      <c r="D345" s="6" t="s">
        <v>22</v>
      </c>
      <c r="E345" s="6" t="s">
        <v>1706</v>
      </c>
      <c r="F345" s="6" t="s">
        <v>70</v>
      </c>
      <c r="G345" s="6" t="s">
        <v>1652</v>
      </c>
      <c r="H345" s="7" t="s">
        <v>1707</v>
      </c>
      <c r="I345" s="6" t="s">
        <v>86</v>
      </c>
      <c r="J345" s="6" t="s">
        <v>125</v>
      </c>
      <c r="K345" s="6">
        <v>60</v>
      </c>
      <c r="L345" s="6" t="s">
        <v>163</v>
      </c>
      <c r="M345" s="6" t="s">
        <v>12</v>
      </c>
      <c r="N345" s="6" t="s">
        <v>9</v>
      </c>
      <c r="O345" s="6" t="s">
        <v>25</v>
      </c>
      <c r="P345" s="6" t="s">
        <v>185</v>
      </c>
      <c r="Q345" s="6" t="s">
        <v>186</v>
      </c>
      <c r="R345" s="8">
        <v>5.3</v>
      </c>
      <c r="S345" s="8">
        <v>163.04</v>
      </c>
      <c r="T345" s="8">
        <v>41.97</v>
      </c>
      <c r="U345" s="8">
        <v>205.01</v>
      </c>
      <c r="V345" s="6" t="s">
        <v>592</v>
      </c>
      <c r="W345" s="6" t="s">
        <v>219</v>
      </c>
    </row>
    <row r="346" spans="1:23">
      <c r="A346" s="6">
        <v>343</v>
      </c>
      <c r="B346" s="7" t="s">
        <v>1708</v>
      </c>
      <c r="C346" s="7" t="s">
        <v>1709</v>
      </c>
      <c r="D346" s="6" t="s">
        <v>22</v>
      </c>
      <c r="E346" s="6" t="s">
        <v>1710</v>
      </c>
      <c r="F346" s="6" t="s">
        <v>83</v>
      </c>
      <c r="G346" s="6" t="s">
        <v>183</v>
      </c>
      <c r="H346" s="7" t="s">
        <v>1711</v>
      </c>
      <c r="I346" s="6" t="s">
        <v>73</v>
      </c>
      <c r="J346" s="6" t="s">
        <v>125</v>
      </c>
      <c r="K346" s="6">
        <v>6</v>
      </c>
      <c r="L346" s="6" t="s">
        <v>267</v>
      </c>
      <c r="M346" s="6" t="s">
        <v>10</v>
      </c>
      <c r="N346" s="6" t="s">
        <v>9</v>
      </c>
      <c r="O346" s="6" t="s">
        <v>27</v>
      </c>
      <c r="P346" s="6" t="s">
        <v>192</v>
      </c>
      <c r="Q346" s="6" t="s">
        <v>289</v>
      </c>
      <c r="R346" s="8">
        <v>15.6</v>
      </c>
      <c r="S346" s="8">
        <v>571.55999999999995</v>
      </c>
      <c r="T346" s="8">
        <v>46.68</v>
      </c>
      <c r="U346" s="8">
        <v>618.24</v>
      </c>
      <c r="V346" s="6" t="s">
        <v>1712</v>
      </c>
      <c r="W346" s="6" t="s">
        <v>141</v>
      </c>
    </row>
    <row r="347" spans="1:23">
      <c r="A347" s="6">
        <v>344</v>
      </c>
      <c r="B347" s="7" t="s">
        <v>1713</v>
      </c>
      <c r="C347" s="7" t="s">
        <v>121</v>
      </c>
      <c r="D347" s="6" t="s">
        <v>34</v>
      </c>
      <c r="E347" s="6" t="s">
        <v>1714</v>
      </c>
      <c r="F347" s="6" t="s">
        <v>70</v>
      </c>
      <c r="G347" s="6" t="s">
        <v>1024</v>
      </c>
      <c r="H347" s="7" t="s">
        <v>1715</v>
      </c>
      <c r="I347" s="6" t="s">
        <v>86</v>
      </c>
      <c r="J347" s="6" t="s">
        <v>125</v>
      </c>
      <c r="K347" s="6">
        <v>60</v>
      </c>
      <c r="L347" s="6" t="s">
        <v>327</v>
      </c>
      <c r="M347" s="6" t="s">
        <v>10</v>
      </c>
      <c r="N347" s="6" t="s">
        <v>9</v>
      </c>
      <c r="O347" s="6" t="s">
        <v>21</v>
      </c>
      <c r="P347" s="6" t="s">
        <v>248</v>
      </c>
      <c r="Q347" s="6" t="s">
        <v>249</v>
      </c>
      <c r="R347" s="8">
        <v>7.1</v>
      </c>
      <c r="S347" s="8">
        <v>104.63</v>
      </c>
      <c r="T347" s="8">
        <v>37.56</v>
      </c>
      <c r="U347" s="8">
        <v>142.19</v>
      </c>
      <c r="V347" s="6" t="s">
        <v>1026</v>
      </c>
      <c r="W347" s="6" t="s">
        <v>110</v>
      </c>
    </row>
    <row r="348" spans="1:23">
      <c r="A348" s="6">
        <v>345</v>
      </c>
      <c r="B348" s="7" t="s">
        <v>1716</v>
      </c>
      <c r="C348" s="7" t="s">
        <v>121</v>
      </c>
      <c r="D348" s="6" t="s">
        <v>36</v>
      </c>
      <c r="E348" s="6" t="s">
        <v>1717</v>
      </c>
      <c r="F348" s="6" t="s">
        <v>83</v>
      </c>
      <c r="G348" s="6" t="s">
        <v>759</v>
      </c>
      <c r="H348" s="7" t="s">
        <v>1718</v>
      </c>
      <c r="I348" s="6" t="s">
        <v>73</v>
      </c>
      <c r="J348" s="6" t="s">
        <v>74</v>
      </c>
      <c r="K348" s="6">
        <v>600</v>
      </c>
      <c r="L348" s="6" t="s">
        <v>75</v>
      </c>
      <c r="M348" s="6" t="s">
        <v>8</v>
      </c>
      <c r="N348" s="6" t="s">
        <v>9</v>
      </c>
      <c r="O348" s="6" t="s">
        <v>33</v>
      </c>
      <c r="P348" s="6" t="s">
        <v>256</v>
      </c>
      <c r="Q348" s="6" t="s">
        <v>149</v>
      </c>
      <c r="R348" s="8">
        <v>7.3</v>
      </c>
      <c r="S348" s="8">
        <v>242.47</v>
      </c>
      <c r="T348" s="8">
        <v>0</v>
      </c>
      <c r="U348" s="8">
        <v>242.47</v>
      </c>
      <c r="V348" s="6" t="s">
        <v>121</v>
      </c>
      <c r="W348" s="6" t="s">
        <v>263</v>
      </c>
    </row>
    <row r="349" spans="1:23">
      <c r="A349" s="6">
        <v>346</v>
      </c>
      <c r="B349" s="7" t="s">
        <v>1719</v>
      </c>
      <c r="C349" s="7" t="s">
        <v>1720</v>
      </c>
      <c r="D349" s="6" t="s">
        <v>28</v>
      </c>
      <c r="E349" s="6" t="s">
        <v>1721</v>
      </c>
      <c r="F349" s="6" t="s">
        <v>83</v>
      </c>
      <c r="G349" s="6" t="s">
        <v>1722</v>
      </c>
      <c r="H349" s="7" t="s">
        <v>1723</v>
      </c>
      <c r="I349" s="6" t="s">
        <v>73</v>
      </c>
      <c r="J349" s="6" t="s">
        <v>125</v>
      </c>
      <c r="K349" s="6">
        <v>40</v>
      </c>
      <c r="L349" s="6" t="s">
        <v>97</v>
      </c>
      <c r="M349" s="6" t="s">
        <v>12</v>
      </c>
      <c r="N349" s="6" t="s">
        <v>9</v>
      </c>
      <c r="O349" s="6" t="s">
        <v>21</v>
      </c>
      <c r="P349" s="6" t="s">
        <v>117</v>
      </c>
      <c r="Q349" s="6" t="s">
        <v>158</v>
      </c>
      <c r="R349" s="8">
        <v>4.4000000000000004</v>
      </c>
      <c r="S349" s="8">
        <v>66.98</v>
      </c>
      <c r="T349" s="8">
        <v>3.93</v>
      </c>
      <c r="U349" s="8">
        <v>70.91</v>
      </c>
      <c r="V349" s="6" t="s">
        <v>1724</v>
      </c>
      <c r="W349" s="6" t="s">
        <v>79</v>
      </c>
    </row>
    <row r="350" spans="1:23" ht="22.35">
      <c r="A350" s="6">
        <v>347</v>
      </c>
      <c r="B350" s="7" t="s">
        <v>1725</v>
      </c>
      <c r="C350" s="7" t="s">
        <v>121</v>
      </c>
      <c r="D350" s="6" t="s">
        <v>30</v>
      </c>
      <c r="E350" s="6" t="s">
        <v>1726</v>
      </c>
      <c r="F350" s="6" t="s">
        <v>70</v>
      </c>
      <c r="G350" s="6" t="s">
        <v>1727</v>
      </c>
      <c r="H350" s="7" t="s">
        <v>1728</v>
      </c>
      <c r="I350" s="6" t="s">
        <v>86</v>
      </c>
      <c r="J350" s="6" t="s">
        <v>125</v>
      </c>
      <c r="K350" s="6">
        <v>40</v>
      </c>
      <c r="L350" s="6" t="s">
        <v>116</v>
      </c>
      <c r="M350" s="6" t="s">
        <v>16</v>
      </c>
      <c r="N350" s="6" t="s">
        <v>13</v>
      </c>
      <c r="O350" s="6" t="s">
        <v>425</v>
      </c>
      <c r="P350" s="6" t="s">
        <v>172</v>
      </c>
      <c r="Q350" s="6" t="s">
        <v>225</v>
      </c>
      <c r="R350" s="8">
        <v>8.1</v>
      </c>
      <c r="S350" s="8">
        <v>120.73</v>
      </c>
      <c r="T350" s="8">
        <v>0</v>
      </c>
      <c r="U350" s="8">
        <v>120.73</v>
      </c>
      <c r="V350" s="6" t="s">
        <v>121</v>
      </c>
      <c r="W350" s="6" t="s">
        <v>151</v>
      </c>
    </row>
    <row r="351" spans="1:23">
      <c r="A351" s="6">
        <v>348</v>
      </c>
      <c r="B351" s="7" t="s">
        <v>1729</v>
      </c>
      <c r="C351" s="7" t="s">
        <v>121</v>
      </c>
      <c r="D351" s="6" t="s">
        <v>36</v>
      </c>
      <c r="E351" s="6" t="s">
        <v>1730</v>
      </c>
      <c r="F351" s="6" t="s">
        <v>70</v>
      </c>
      <c r="G351" s="6" t="s">
        <v>1731</v>
      </c>
      <c r="H351" s="7" t="s">
        <v>1732</v>
      </c>
      <c r="I351" s="6" t="s">
        <v>73</v>
      </c>
      <c r="J351" s="6" t="s">
        <v>74</v>
      </c>
      <c r="K351" s="6">
        <v>400</v>
      </c>
      <c r="L351" s="6" t="s">
        <v>163</v>
      </c>
      <c r="M351" s="6" t="s">
        <v>8</v>
      </c>
      <c r="N351" s="6" t="s">
        <v>9</v>
      </c>
      <c r="O351" s="6" t="s">
        <v>23</v>
      </c>
      <c r="P351" s="6" t="s">
        <v>76</v>
      </c>
      <c r="Q351" s="6" t="s">
        <v>149</v>
      </c>
      <c r="R351" s="8">
        <v>5.2</v>
      </c>
      <c r="S351" s="8">
        <v>107.3</v>
      </c>
      <c r="T351" s="8">
        <v>0</v>
      </c>
      <c r="U351" s="8">
        <v>107.3</v>
      </c>
      <c r="V351" s="6" t="s">
        <v>121</v>
      </c>
      <c r="W351" s="6" t="s">
        <v>397</v>
      </c>
    </row>
    <row r="352" spans="1:23">
      <c r="A352" s="6">
        <v>349</v>
      </c>
      <c r="B352" s="7" t="s">
        <v>1733</v>
      </c>
      <c r="C352" s="7" t="s">
        <v>121</v>
      </c>
      <c r="D352" s="6" t="s">
        <v>36</v>
      </c>
      <c r="E352" s="6" t="s">
        <v>1734</v>
      </c>
      <c r="F352" s="6" t="s">
        <v>70</v>
      </c>
      <c r="G352" s="6" t="s">
        <v>1735</v>
      </c>
      <c r="H352" s="7" t="s">
        <v>1736</v>
      </c>
      <c r="I352" s="6" t="s">
        <v>147</v>
      </c>
      <c r="J352" s="6" t="s">
        <v>74</v>
      </c>
      <c r="K352" s="6">
        <v>200</v>
      </c>
      <c r="L352" s="6" t="s">
        <v>199</v>
      </c>
      <c r="M352" s="6" t="s">
        <v>14</v>
      </c>
      <c r="N352" s="6" t="s">
        <v>15</v>
      </c>
      <c r="O352" s="6" t="s">
        <v>127</v>
      </c>
      <c r="P352" s="6" t="s">
        <v>172</v>
      </c>
      <c r="Q352" s="6" t="s">
        <v>149</v>
      </c>
      <c r="R352" s="8">
        <v>0.1</v>
      </c>
      <c r="S352" s="8">
        <v>2.68</v>
      </c>
      <c r="T352" s="8">
        <v>0</v>
      </c>
      <c r="U352" s="8">
        <v>2.68</v>
      </c>
      <c r="V352" s="6" t="s">
        <v>121</v>
      </c>
      <c r="W352" s="6" t="s">
        <v>110</v>
      </c>
    </row>
    <row r="353" spans="1:23">
      <c r="A353" s="6">
        <v>350</v>
      </c>
      <c r="B353" s="7" t="s">
        <v>1737</v>
      </c>
      <c r="C353" s="7" t="s">
        <v>1738</v>
      </c>
      <c r="D353" s="6" t="s">
        <v>28</v>
      </c>
      <c r="E353" s="6" t="s">
        <v>1739</v>
      </c>
      <c r="F353" s="6" t="s">
        <v>83</v>
      </c>
      <c r="G353" s="6" t="s">
        <v>1740</v>
      </c>
      <c r="H353" s="7" t="s">
        <v>1741</v>
      </c>
      <c r="I353" s="6" t="s">
        <v>86</v>
      </c>
      <c r="J353" s="6" t="s">
        <v>125</v>
      </c>
      <c r="K353" s="6">
        <v>40</v>
      </c>
      <c r="L353" s="6" t="s">
        <v>163</v>
      </c>
      <c r="M353" s="6" t="s">
        <v>12</v>
      </c>
      <c r="N353" s="6" t="s">
        <v>9</v>
      </c>
      <c r="O353" s="6" t="s">
        <v>33</v>
      </c>
      <c r="P353" s="6" t="s">
        <v>178</v>
      </c>
      <c r="Q353" s="6" t="s">
        <v>179</v>
      </c>
      <c r="R353" s="8">
        <v>2.1</v>
      </c>
      <c r="S353" s="8">
        <v>29.99</v>
      </c>
      <c r="T353" s="8">
        <v>19.260000000000002</v>
      </c>
      <c r="U353" s="8">
        <v>49.25</v>
      </c>
      <c r="V353" s="6" t="s">
        <v>1109</v>
      </c>
      <c r="W353" s="6" t="s">
        <v>91</v>
      </c>
    </row>
    <row r="354" spans="1:23">
      <c r="A354" s="6">
        <v>351</v>
      </c>
      <c r="B354" s="7" t="s">
        <v>1742</v>
      </c>
      <c r="C354" s="7" t="s">
        <v>121</v>
      </c>
      <c r="D354" s="6" t="s">
        <v>20</v>
      </c>
      <c r="E354" s="6" t="s">
        <v>1743</v>
      </c>
      <c r="F354" s="6" t="s">
        <v>70</v>
      </c>
      <c r="G354" s="6" t="s">
        <v>365</v>
      </c>
      <c r="H354" s="7" t="s">
        <v>1744</v>
      </c>
      <c r="I354" s="6" t="s">
        <v>73</v>
      </c>
      <c r="J354" s="6" t="s">
        <v>1745</v>
      </c>
      <c r="K354" s="6">
        <v>40000</v>
      </c>
      <c r="L354" s="6" t="s">
        <v>116</v>
      </c>
      <c r="M354" s="6" t="s">
        <v>10</v>
      </c>
      <c r="N354" s="6" t="s">
        <v>15</v>
      </c>
      <c r="O354" s="6" t="s">
        <v>29</v>
      </c>
      <c r="P354" s="6" t="s">
        <v>157</v>
      </c>
      <c r="Q354" s="6" t="s">
        <v>158</v>
      </c>
      <c r="R354" s="8">
        <v>14</v>
      </c>
      <c r="S354" s="8">
        <v>641.11</v>
      </c>
      <c r="T354" s="8">
        <v>28.47</v>
      </c>
      <c r="U354" s="8">
        <v>669.58</v>
      </c>
      <c r="V354" s="6" t="s">
        <v>1053</v>
      </c>
      <c r="W354" s="6" t="s">
        <v>368</v>
      </c>
    </row>
    <row r="355" spans="1:23">
      <c r="A355" s="6">
        <v>352</v>
      </c>
      <c r="B355" s="7" t="s">
        <v>1746</v>
      </c>
      <c r="C355" s="7" t="s">
        <v>1747</v>
      </c>
      <c r="D355" s="6" t="s">
        <v>30</v>
      </c>
      <c r="E355" s="6" t="s">
        <v>1748</v>
      </c>
      <c r="F355" s="6" t="s">
        <v>83</v>
      </c>
      <c r="G355" s="6" t="s">
        <v>1289</v>
      </c>
      <c r="H355" s="7" t="s">
        <v>1749</v>
      </c>
      <c r="I355" s="6" t="s">
        <v>86</v>
      </c>
      <c r="J355" s="6" t="s">
        <v>74</v>
      </c>
      <c r="K355" s="6">
        <v>200</v>
      </c>
      <c r="L355" s="6" t="s">
        <v>327</v>
      </c>
      <c r="M355" s="6" t="s">
        <v>10</v>
      </c>
      <c r="N355" s="6" t="s">
        <v>9</v>
      </c>
      <c r="O355" s="6" t="s">
        <v>27</v>
      </c>
      <c r="P355" s="6" t="s">
        <v>157</v>
      </c>
      <c r="Q355" s="6" t="s">
        <v>158</v>
      </c>
      <c r="R355" s="8">
        <v>7.5</v>
      </c>
      <c r="S355" s="8">
        <v>249.4</v>
      </c>
      <c r="T355" s="8">
        <v>0.95</v>
      </c>
      <c r="U355" s="8">
        <v>250.35</v>
      </c>
      <c r="V355" s="6" t="s">
        <v>1750</v>
      </c>
      <c r="W355" s="6" t="s">
        <v>284</v>
      </c>
    </row>
    <row r="356" spans="1:23">
      <c r="A356" s="6">
        <v>353</v>
      </c>
      <c r="B356" s="7" t="s">
        <v>1751</v>
      </c>
      <c r="C356" s="7" t="s">
        <v>1752</v>
      </c>
      <c r="D356" s="6" t="s">
        <v>38</v>
      </c>
      <c r="E356" s="6" t="s">
        <v>1753</v>
      </c>
      <c r="F356" s="6" t="s">
        <v>83</v>
      </c>
      <c r="G356" s="6" t="s">
        <v>643</v>
      </c>
      <c r="H356" s="7" t="s">
        <v>1754</v>
      </c>
      <c r="I356" s="6" t="s">
        <v>147</v>
      </c>
      <c r="J356" s="6" t="s">
        <v>125</v>
      </c>
      <c r="K356" s="6">
        <v>60</v>
      </c>
      <c r="L356" s="6" t="s">
        <v>171</v>
      </c>
      <c r="M356" s="6" t="s">
        <v>14</v>
      </c>
      <c r="N356" s="6" t="s">
        <v>9</v>
      </c>
      <c r="O356" s="6" t="s">
        <v>23</v>
      </c>
      <c r="P356" s="6" t="s">
        <v>117</v>
      </c>
      <c r="Q356" s="6" t="s">
        <v>158</v>
      </c>
      <c r="R356" s="8">
        <v>1.3</v>
      </c>
      <c r="S356" s="8">
        <v>25.4</v>
      </c>
      <c r="T356" s="8">
        <v>0</v>
      </c>
      <c r="U356" s="8">
        <v>25.4</v>
      </c>
      <c r="V356" s="6" t="s">
        <v>121</v>
      </c>
      <c r="W356" s="6" t="s">
        <v>397</v>
      </c>
    </row>
    <row r="357" spans="1:23">
      <c r="A357" s="6">
        <v>354</v>
      </c>
      <c r="B357" s="7" t="s">
        <v>1755</v>
      </c>
      <c r="C357" s="7" t="s">
        <v>121</v>
      </c>
      <c r="D357" s="6" t="s">
        <v>24</v>
      </c>
      <c r="E357" s="6" t="s">
        <v>1756</v>
      </c>
      <c r="F357" s="6" t="s">
        <v>345</v>
      </c>
      <c r="G357" s="6" t="s">
        <v>78</v>
      </c>
      <c r="H357" s="7" t="s">
        <v>1757</v>
      </c>
      <c r="I357" s="6" t="s">
        <v>73</v>
      </c>
      <c r="J357" s="6" t="s">
        <v>125</v>
      </c>
      <c r="K357" s="6">
        <v>60</v>
      </c>
      <c r="L357" s="6" t="s">
        <v>126</v>
      </c>
      <c r="M357" s="6" t="s">
        <v>12</v>
      </c>
      <c r="N357" s="6" t="s">
        <v>13</v>
      </c>
      <c r="O357" s="6" t="s">
        <v>35</v>
      </c>
      <c r="P357" s="6" t="s">
        <v>148</v>
      </c>
      <c r="Q357" s="6" t="s">
        <v>149</v>
      </c>
      <c r="R357" s="8">
        <v>5.7</v>
      </c>
      <c r="S357" s="8">
        <v>167.55</v>
      </c>
      <c r="T357" s="8">
        <v>23.62</v>
      </c>
      <c r="U357" s="8">
        <v>191.17</v>
      </c>
      <c r="V357" s="6" t="s">
        <v>1758</v>
      </c>
      <c r="W357" s="6" t="s">
        <v>91</v>
      </c>
    </row>
    <row r="358" spans="1:23">
      <c r="A358" s="6">
        <v>355</v>
      </c>
      <c r="B358" s="7" t="s">
        <v>1759</v>
      </c>
      <c r="C358" s="7" t="s">
        <v>1760</v>
      </c>
      <c r="D358" s="6" t="s">
        <v>36</v>
      </c>
      <c r="E358" s="6" t="s">
        <v>1761</v>
      </c>
      <c r="F358" s="6" t="s">
        <v>83</v>
      </c>
      <c r="G358" s="6" t="s">
        <v>1762</v>
      </c>
      <c r="H358" s="7" t="s">
        <v>1763</v>
      </c>
      <c r="I358" s="6" t="s">
        <v>73</v>
      </c>
      <c r="J358" s="6" t="s">
        <v>74</v>
      </c>
      <c r="K358" s="6">
        <v>400</v>
      </c>
      <c r="L358" s="6" t="s">
        <v>138</v>
      </c>
      <c r="M358" s="6" t="s">
        <v>10</v>
      </c>
      <c r="N358" s="6" t="s">
        <v>9</v>
      </c>
      <c r="O358" s="6" t="s">
        <v>23</v>
      </c>
      <c r="P358" s="6" t="s">
        <v>128</v>
      </c>
      <c r="Q358" s="6" t="s">
        <v>129</v>
      </c>
      <c r="R358" s="8">
        <v>14.2</v>
      </c>
      <c r="S358" s="8">
        <v>408.81</v>
      </c>
      <c r="T358" s="8">
        <v>41.81</v>
      </c>
      <c r="U358" s="8">
        <v>450.62</v>
      </c>
      <c r="V358" s="6" t="s">
        <v>1586</v>
      </c>
      <c r="W358" s="6" t="s">
        <v>263</v>
      </c>
    </row>
    <row r="359" spans="1:23">
      <c r="A359" s="6">
        <v>356</v>
      </c>
      <c r="B359" s="7" t="s">
        <v>1764</v>
      </c>
      <c r="C359" s="7" t="s">
        <v>1765</v>
      </c>
      <c r="D359" s="6" t="s">
        <v>26</v>
      </c>
      <c r="E359" s="6" t="s">
        <v>1766</v>
      </c>
      <c r="F359" s="6" t="s">
        <v>83</v>
      </c>
      <c r="G359" s="6" t="s">
        <v>1767</v>
      </c>
      <c r="H359" s="7" t="s">
        <v>1768</v>
      </c>
      <c r="I359" s="6" t="s">
        <v>73</v>
      </c>
      <c r="J359" s="6" t="s">
        <v>74</v>
      </c>
      <c r="K359" s="6">
        <v>200</v>
      </c>
      <c r="L359" s="6" t="s">
        <v>126</v>
      </c>
      <c r="M359" s="6" t="s">
        <v>8</v>
      </c>
      <c r="N359" s="6" t="s">
        <v>15</v>
      </c>
      <c r="O359" s="6" t="s">
        <v>29</v>
      </c>
      <c r="P359" s="6" t="s">
        <v>192</v>
      </c>
      <c r="Q359" s="6" t="s">
        <v>129</v>
      </c>
      <c r="R359" s="8">
        <v>4.8</v>
      </c>
      <c r="S359" s="8">
        <v>219.03</v>
      </c>
      <c r="T359" s="8">
        <v>0</v>
      </c>
      <c r="U359" s="8">
        <v>219.03</v>
      </c>
      <c r="V359" s="6" t="s">
        <v>121</v>
      </c>
      <c r="W359" s="6" t="s">
        <v>744</v>
      </c>
    </row>
    <row r="360" spans="1:23">
      <c r="A360" s="6">
        <v>357</v>
      </c>
      <c r="B360" s="7" t="s">
        <v>1769</v>
      </c>
      <c r="C360" s="7" t="s">
        <v>121</v>
      </c>
      <c r="D360" s="6" t="s">
        <v>22</v>
      </c>
      <c r="E360" s="6" t="s">
        <v>1770</v>
      </c>
      <c r="F360" s="6" t="s">
        <v>83</v>
      </c>
      <c r="G360" s="6" t="s">
        <v>1771</v>
      </c>
      <c r="H360" s="7" t="s">
        <v>1772</v>
      </c>
      <c r="I360" s="6" t="s">
        <v>73</v>
      </c>
      <c r="J360" s="6" t="s">
        <v>125</v>
      </c>
      <c r="K360" s="6">
        <v>40</v>
      </c>
      <c r="L360" s="6" t="s">
        <v>163</v>
      </c>
      <c r="M360" s="6" t="s">
        <v>8</v>
      </c>
      <c r="N360" s="6" t="s">
        <v>15</v>
      </c>
      <c r="O360" s="6" t="s">
        <v>127</v>
      </c>
      <c r="P360" s="6" t="s">
        <v>192</v>
      </c>
      <c r="Q360" s="6" t="s">
        <v>129</v>
      </c>
      <c r="R360" s="8">
        <v>2.2000000000000002</v>
      </c>
      <c r="S360" s="8">
        <v>83.98</v>
      </c>
      <c r="T360" s="8">
        <v>0</v>
      </c>
      <c r="U360" s="8">
        <v>83.98</v>
      </c>
      <c r="V360" s="6" t="s">
        <v>121</v>
      </c>
      <c r="W360" s="6" t="s">
        <v>165</v>
      </c>
    </row>
    <row r="361" spans="1:23">
      <c r="A361" s="6">
        <v>358</v>
      </c>
      <c r="B361" s="7" t="s">
        <v>1773</v>
      </c>
      <c r="C361" s="7" t="s">
        <v>1774</v>
      </c>
      <c r="D361" s="6" t="s">
        <v>22</v>
      </c>
      <c r="E361" s="6" t="s">
        <v>1775</v>
      </c>
      <c r="F361" s="6" t="s">
        <v>83</v>
      </c>
      <c r="G361" s="6" t="s">
        <v>1469</v>
      </c>
      <c r="H361" s="7" t="s">
        <v>1776</v>
      </c>
      <c r="I361" s="6" t="s">
        <v>73</v>
      </c>
      <c r="J361" s="6" t="s">
        <v>125</v>
      </c>
      <c r="K361" s="6">
        <v>6</v>
      </c>
      <c r="L361" s="6" t="s">
        <v>75</v>
      </c>
      <c r="M361" s="6" t="s">
        <v>10</v>
      </c>
      <c r="N361" s="6" t="s">
        <v>11</v>
      </c>
      <c r="O361" s="6" t="s">
        <v>43</v>
      </c>
      <c r="P361" s="6" t="s">
        <v>128</v>
      </c>
      <c r="Q361" s="6" t="s">
        <v>129</v>
      </c>
      <c r="R361" s="8">
        <v>3.9</v>
      </c>
      <c r="S361" s="8">
        <v>108.27</v>
      </c>
      <c r="T361" s="8">
        <v>34.79</v>
      </c>
      <c r="U361" s="8">
        <v>143.06</v>
      </c>
      <c r="V361" s="6" t="s">
        <v>1777</v>
      </c>
      <c r="W361" s="6" t="s">
        <v>101</v>
      </c>
    </row>
    <row r="362" spans="1:23">
      <c r="A362" s="6">
        <v>359</v>
      </c>
      <c r="B362" s="7" t="s">
        <v>1778</v>
      </c>
      <c r="C362" s="7" t="s">
        <v>1779</v>
      </c>
      <c r="D362" s="6" t="s">
        <v>28</v>
      </c>
      <c r="E362" s="6" t="s">
        <v>1780</v>
      </c>
      <c r="F362" s="6" t="s">
        <v>83</v>
      </c>
      <c r="G362" s="6" t="s">
        <v>337</v>
      </c>
      <c r="H362" s="7" t="s">
        <v>1781</v>
      </c>
      <c r="I362" s="6" t="s">
        <v>73</v>
      </c>
      <c r="J362" s="6" t="s">
        <v>74</v>
      </c>
      <c r="K362" s="6">
        <v>400</v>
      </c>
      <c r="L362" s="6" t="s">
        <v>97</v>
      </c>
      <c r="M362" s="6" t="s">
        <v>12</v>
      </c>
      <c r="N362" s="6" t="s">
        <v>15</v>
      </c>
      <c r="O362" s="6" t="s">
        <v>156</v>
      </c>
      <c r="P362" s="6" t="s">
        <v>185</v>
      </c>
      <c r="Q362" s="6" t="s">
        <v>186</v>
      </c>
      <c r="R362" s="8">
        <v>3.7</v>
      </c>
      <c r="S362" s="8">
        <v>104.65</v>
      </c>
      <c r="T362" s="8">
        <v>33.19</v>
      </c>
      <c r="U362" s="8">
        <v>137.84</v>
      </c>
      <c r="V362" s="6" t="s">
        <v>801</v>
      </c>
      <c r="W362" s="6" t="s">
        <v>110</v>
      </c>
    </row>
    <row r="363" spans="1:23" ht="22.35">
      <c r="A363" s="6">
        <v>360</v>
      </c>
      <c r="B363" s="7" t="s">
        <v>1782</v>
      </c>
      <c r="C363" s="7" t="s">
        <v>121</v>
      </c>
      <c r="D363" s="6" t="s">
        <v>28</v>
      </c>
      <c r="E363" s="6" t="s">
        <v>1783</v>
      </c>
      <c r="F363" s="6" t="s">
        <v>83</v>
      </c>
      <c r="G363" s="6" t="s">
        <v>1202</v>
      </c>
      <c r="H363" s="7" t="s">
        <v>1784</v>
      </c>
      <c r="I363" s="6" t="s">
        <v>73</v>
      </c>
      <c r="J363" s="6" t="s">
        <v>125</v>
      </c>
      <c r="K363" s="6">
        <v>6</v>
      </c>
      <c r="L363" s="6" t="s">
        <v>267</v>
      </c>
      <c r="M363" s="6" t="s">
        <v>16</v>
      </c>
      <c r="N363" s="6" t="s">
        <v>9</v>
      </c>
      <c r="O363" s="6" t="s">
        <v>27</v>
      </c>
      <c r="P363" s="6" t="s">
        <v>185</v>
      </c>
      <c r="Q363" s="6" t="s">
        <v>186</v>
      </c>
      <c r="R363" s="8">
        <v>17.8</v>
      </c>
      <c r="S363" s="8">
        <v>438.51</v>
      </c>
      <c r="T363" s="8">
        <v>0</v>
      </c>
      <c r="U363" s="8">
        <v>438.51</v>
      </c>
      <c r="V363" s="6" t="s">
        <v>121</v>
      </c>
      <c r="W363" s="6" t="s">
        <v>444</v>
      </c>
    </row>
    <row r="364" spans="1:23">
      <c r="A364" s="6">
        <v>361</v>
      </c>
      <c r="B364" s="7" t="s">
        <v>1785</v>
      </c>
      <c r="C364" s="7" t="s">
        <v>1786</v>
      </c>
      <c r="D364" s="6" t="s">
        <v>40</v>
      </c>
      <c r="E364" s="6" t="s">
        <v>1787</v>
      </c>
      <c r="F364" s="6" t="s">
        <v>83</v>
      </c>
      <c r="G364" s="6" t="s">
        <v>254</v>
      </c>
      <c r="H364" s="7" t="s">
        <v>1788</v>
      </c>
      <c r="I364" s="6" t="s">
        <v>73</v>
      </c>
      <c r="J364" s="6" t="s">
        <v>125</v>
      </c>
      <c r="K364" s="6">
        <v>6</v>
      </c>
      <c r="L364" s="6" t="s">
        <v>107</v>
      </c>
      <c r="M364" s="6" t="s">
        <v>8</v>
      </c>
      <c r="N364" s="6" t="s">
        <v>15</v>
      </c>
      <c r="O364" s="6" t="s">
        <v>156</v>
      </c>
      <c r="P364" s="6" t="s">
        <v>248</v>
      </c>
      <c r="Q364" s="6" t="s">
        <v>249</v>
      </c>
      <c r="R364" s="8">
        <v>5.3</v>
      </c>
      <c r="S364" s="8">
        <v>148.37</v>
      </c>
      <c r="T364" s="8">
        <v>0</v>
      </c>
      <c r="U364" s="8">
        <v>148.37</v>
      </c>
      <c r="V364" s="6" t="s">
        <v>121</v>
      </c>
      <c r="W364" s="6" t="s">
        <v>257</v>
      </c>
    </row>
    <row r="365" spans="1:23">
      <c r="A365" s="6">
        <v>362</v>
      </c>
      <c r="B365" s="7" t="s">
        <v>1789</v>
      </c>
      <c r="C365" s="7" t="s">
        <v>1790</v>
      </c>
      <c r="D365" s="6" t="s">
        <v>34</v>
      </c>
      <c r="E365" s="6" t="s">
        <v>1791</v>
      </c>
      <c r="F365" s="6" t="s">
        <v>83</v>
      </c>
      <c r="G365" s="6" t="s">
        <v>1792</v>
      </c>
      <c r="H365" s="7" t="s">
        <v>1793</v>
      </c>
      <c r="I365" s="6" t="s">
        <v>147</v>
      </c>
      <c r="J365" s="6" t="s">
        <v>125</v>
      </c>
      <c r="K365" s="6">
        <v>40</v>
      </c>
      <c r="L365" s="6" t="s">
        <v>267</v>
      </c>
      <c r="M365" s="6" t="s">
        <v>14</v>
      </c>
      <c r="N365" s="6" t="s">
        <v>9</v>
      </c>
      <c r="O365" s="6" t="s">
        <v>27</v>
      </c>
      <c r="P365" s="6" t="s">
        <v>172</v>
      </c>
      <c r="Q365" s="6" t="s">
        <v>225</v>
      </c>
      <c r="R365" s="8">
        <v>5.4</v>
      </c>
      <c r="S365" s="8">
        <v>121.65</v>
      </c>
      <c r="T365" s="8">
        <v>0</v>
      </c>
      <c r="U365" s="8">
        <v>121.65</v>
      </c>
      <c r="V365" s="6" t="s">
        <v>121</v>
      </c>
      <c r="W365" s="6" t="s">
        <v>193</v>
      </c>
    </row>
    <row r="366" spans="1:23">
      <c r="A366" s="6">
        <v>363</v>
      </c>
      <c r="B366" s="7" t="s">
        <v>1794</v>
      </c>
      <c r="C366" s="7" t="s">
        <v>1795</v>
      </c>
      <c r="D366" s="6" t="s">
        <v>32</v>
      </c>
      <c r="E366" s="6" t="s">
        <v>1796</v>
      </c>
      <c r="F366" s="6" t="s">
        <v>83</v>
      </c>
      <c r="G366" s="6" t="s">
        <v>1797</v>
      </c>
      <c r="H366" s="7" t="s">
        <v>1798</v>
      </c>
      <c r="I366" s="6" t="s">
        <v>147</v>
      </c>
      <c r="J366" s="6" t="s">
        <v>125</v>
      </c>
      <c r="K366" s="6">
        <v>40</v>
      </c>
      <c r="L366" s="6" t="s">
        <v>218</v>
      </c>
      <c r="M366" s="6" t="s">
        <v>17</v>
      </c>
      <c r="N366" s="6" t="s">
        <v>15</v>
      </c>
      <c r="O366" s="6" t="s">
        <v>127</v>
      </c>
      <c r="P366" s="6" t="s">
        <v>200</v>
      </c>
      <c r="Q366" s="6" t="s">
        <v>129</v>
      </c>
      <c r="R366" s="8">
        <v>20.399999999999999</v>
      </c>
      <c r="S366" s="8">
        <v>617.14</v>
      </c>
      <c r="T366" s="8">
        <v>18.5</v>
      </c>
      <c r="U366" s="8">
        <v>635.64</v>
      </c>
      <c r="V366" s="6" t="s">
        <v>407</v>
      </c>
      <c r="W366" s="6" t="s">
        <v>744</v>
      </c>
    </row>
    <row r="367" spans="1:23">
      <c r="A367" s="6">
        <v>364</v>
      </c>
      <c r="B367" s="7" t="s">
        <v>1799</v>
      </c>
      <c r="C367" s="7" t="s">
        <v>121</v>
      </c>
      <c r="D367" s="6" t="s">
        <v>40</v>
      </c>
      <c r="E367" s="6" t="s">
        <v>1800</v>
      </c>
      <c r="F367" s="6" t="s">
        <v>70</v>
      </c>
      <c r="G367" s="6" t="s">
        <v>254</v>
      </c>
      <c r="H367" s="7" t="s">
        <v>1801</v>
      </c>
      <c r="I367" s="6" t="s">
        <v>147</v>
      </c>
      <c r="J367" s="6" t="s">
        <v>74</v>
      </c>
      <c r="K367" s="6">
        <v>200</v>
      </c>
      <c r="L367" s="6" t="s">
        <v>97</v>
      </c>
      <c r="M367" s="6" t="s">
        <v>17</v>
      </c>
      <c r="N367" s="6" t="s">
        <v>13</v>
      </c>
      <c r="O367" s="6" t="s">
        <v>37</v>
      </c>
      <c r="P367" s="6" t="s">
        <v>172</v>
      </c>
      <c r="Q367" s="6" t="s">
        <v>149</v>
      </c>
      <c r="R367" s="8">
        <v>7.6</v>
      </c>
      <c r="S367" s="8">
        <v>143.85</v>
      </c>
      <c r="T367" s="8">
        <v>21.64</v>
      </c>
      <c r="U367" s="8">
        <v>165.49</v>
      </c>
      <c r="V367" s="6" t="s">
        <v>1802</v>
      </c>
      <c r="W367" s="6" t="s">
        <v>257</v>
      </c>
    </row>
    <row r="368" spans="1:23">
      <c r="A368" s="6">
        <v>365</v>
      </c>
      <c r="B368" s="7" t="s">
        <v>1803</v>
      </c>
      <c r="C368" s="7" t="s">
        <v>121</v>
      </c>
      <c r="D368" s="6" t="s">
        <v>40</v>
      </c>
      <c r="E368" s="6" t="s">
        <v>1804</v>
      </c>
      <c r="F368" s="6" t="s">
        <v>70</v>
      </c>
      <c r="G368" s="6" t="s">
        <v>1805</v>
      </c>
      <c r="H368" s="7" t="s">
        <v>1806</v>
      </c>
      <c r="I368" s="6" t="s">
        <v>396</v>
      </c>
      <c r="J368" s="6" t="s">
        <v>74</v>
      </c>
      <c r="K368" s="6">
        <v>400</v>
      </c>
      <c r="L368" s="6" t="s">
        <v>138</v>
      </c>
      <c r="M368" s="6" t="s">
        <v>8</v>
      </c>
      <c r="N368" s="6" t="s">
        <v>11</v>
      </c>
      <c r="O368" s="6" t="s">
        <v>33</v>
      </c>
      <c r="P368" s="6" t="s">
        <v>192</v>
      </c>
      <c r="Q368" s="6" t="s">
        <v>158</v>
      </c>
      <c r="R368" s="8">
        <v>0</v>
      </c>
      <c r="S368" s="8">
        <v>0.37</v>
      </c>
      <c r="T368" s="8">
        <v>0</v>
      </c>
      <c r="U368" s="8">
        <v>0.37</v>
      </c>
      <c r="V368" s="6" t="s">
        <v>121</v>
      </c>
      <c r="W368" s="6" t="s">
        <v>165</v>
      </c>
    </row>
    <row r="369" spans="1:23">
      <c r="A369" s="6">
        <v>366</v>
      </c>
      <c r="B369" s="7" t="s">
        <v>1807</v>
      </c>
      <c r="C369" s="7" t="s">
        <v>121</v>
      </c>
      <c r="D369" s="6" t="s">
        <v>24</v>
      </c>
      <c r="E369" s="6" t="s">
        <v>1808</v>
      </c>
      <c r="F369" s="6" t="s">
        <v>83</v>
      </c>
      <c r="G369" s="6" t="s">
        <v>1809</v>
      </c>
      <c r="H369" s="7" t="s">
        <v>1810</v>
      </c>
      <c r="I369" s="6" t="s">
        <v>86</v>
      </c>
      <c r="J369" s="6" t="s">
        <v>87</v>
      </c>
      <c r="K369" s="6">
        <v>4000</v>
      </c>
      <c r="L369" s="6" t="s">
        <v>138</v>
      </c>
      <c r="M369" s="6" t="s">
        <v>14</v>
      </c>
      <c r="N369" s="6" t="s">
        <v>13</v>
      </c>
      <c r="O369" s="6" t="s">
        <v>37</v>
      </c>
      <c r="P369" s="6" t="s">
        <v>117</v>
      </c>
      <c r="Q369" s="6" t="s">
        <v>426</v>
      </c>
      <c r="R369" s="8">
        <v>0.4</v>
      </c>
      <c r="S369" s="8">
        <v>8.8699999999999992</v>
      </c>
      <c r="T369" s="8">
        <v>0</v>
      </c>
      <c r="U369" s="8">
        <v>8.8699999999999992</v>
      </c>
      <c r="V369" s="6" t="s">
        <v>121</v>
      </c>
      <c r="W369" s="6" t="s">
        <v>193</v>
      </c>
    </row>
    <row r="370" spans="1:23">
      <c r="A370" s="6">
        <v>367</v>
      </c>
      <c r="B370" s="7" t="s">
        <v>1811</v>
      </c>
      <c r="C370" s="7" t="s">
        <v>1812</v>
      </c>
      <c r="D370" s="6" t="s">
        <v>30</v>
      </c>
      <c r="E370" s="6" t="s">
        <v>1813</v>
      </c>
      <c r="F370" s="6" t="s">
        <v>83</v>
      </c>
      <c r="G370" s="6" t="s">
        <v>1814</v>
      </c>
      <c r="H370" s="7" t="s">
        <v>1815</v>
      </c>
      <c r="I370" s="6" t="s">
        <v>73</v>
      </c>
      <c r="J370" s="6" t="s">
        <v>125</v>
      </c>
      <c r="K370" s="6">
        <v>6</v>
      </c>
      <c r="L370" s="6" t="s">
        <v>97</v>
      </c>
      <c r="M370" s="6" t="s">
        <v>14</v>
      </c>
      <c r="N370" s="6" t="s">
        <v>9</v>
      </c>
      <c r="O370" s="6" t="s">
        <v>25</v>
      </c>
      <c r="P370" s="6" t="s">
        <v>433</v>
      </c>
      <c r="Q370" s="6" t="s">
        <v>434</v>
      </c>
      <c r="R370" s="8">
        <v>0.4</v>
      </c>
      <c r="S370" s="8">
        <v>10.69</v>
      </c>
      <c r="T370" s="8">
        <v>0</v>
      </c>
      <c r="U370" s="8">
        <v>10.69</v>
      </c>
      <c r="V370" s="6" t="s">
        <v>121</v>
      </c>
      <c r="W370" s="6" t="s">
        <v>110</v>
      </c>
    </row>
    <row r="371" spans="1:23">
      <c r="A371" s="6">
        <v>368</v>
      </c>
      <c r="B371" s="7" t="s">
        <v>1816</v>
      </c>
      <c r="C371" s="7" t="s">
        <v>1817</v>
      </c>
      <c r="D371" s="6" t="s">
        <v>32</v>
      </c>
      <c r="E371" s="6" t="s">
        <v>1818</v>
      </c>
      <c r="F371" s="6" t="s">
        <v>83</v>
      </c>
      <c r="G371" s="6" t="s">
        <v>1819</v>
      </c>
      <c r="H371" s="7" t="s">
        <v>1820</v>
      </c>
      <c r="I371" s="6" t="s">
        <v>86</v>
      </c>
      <c r="J371" s="6" t="s">
        <v>74</v>
      </c>
      <c r="K371" s="6">
        <v>200</v>
      </c>
      <c r="L371" s="6" t="s">
        <v>171</v>
      </c>
      <c r="M371" s="6" t="s">
        <v>14</v>
      </c>
      <c r="N371" s="6" t="s">
        <v>11</v>
      </c>
      <c r="O371" s="6" t="s">
        <v>31</v>
      </c>
      <c r="P371" s="6" t="s">
        <v>117</v>
      </c>
      <c r="Q371" s="6" t="s">
        <v>158</v>
      </c>
      <c r="R371" s="8">
        <v>0.7</v>
      </c>
      <c r="S371" s="8">
        <v>30.8</v>
      </c>
      <c r="T371" s="8">
        <v>0</v>
      </c>
      <c r="U371" s="8">
        <v>30.8</v>
      </c>
      <c r="V371" s="6" t="s">
        <v>121</v>
      </c>
      <c r="W371" s="6" t="s">
        <v>79</v>
      </c>
    </row>
    <row r="372" spans="1:23">
      <c r="A372" s="6">
        <v>369</v>
      </c>
      <c r="B372" s="7" t="s">
        <v>1821</v>
      </c>
      <c r="C372" s="7" t="s">
        <v>121</v>
      </c>
      <c r="D372" s="6" t="s">
        <v>40</v>
      </c>
      <c r="E372" s="6" t="s">
        <v>1822</v>
      </c>
      <c r="F372" s="6" t="s">
        <v>70</v>
      </c>
      <c r="G372" s="6" t="s">
        <v>588</v>
      </c>
      <c r="H372" s="7" t="s">
        <v>1823</v>
      </c>
      <c r="I372" s="6" t="s">
        <v>73</v>
      </c>
      <c r="J372" s="6" t="s">
        <v>87</v>
      </c>
      <c r="K372" s="6">
        <v>4000</v>
      </c>
      <c r="L372" s="6" t="s">
        <v>199</v>
      </c>
      <c r="M372" s="6" t="s">
        <v>10</v>
      </c>
      <c r="N372" s="6" t="s">
        <v>15</v>
      </c>
      <c r="O372" s="6" t="s">
        <v>127</v>
      </c>
      <c r="P372" s="6" t="s">
        <v>192</v>
      </c>
      <c r="Q372" s="6" t="s">
        <v>289</v>
      </c>
      <c r="R372" s="8">
        <v>9.5</v>
      </c>
      <c r="S372" s="8">
        <v>263.08</v>
      </c>
      <c r="T372" s="8">
        <v>37.590000000000003</v>
      </c>
      <c r="U372" s="8">
        <v>300.67</v>
      </c>
      <c r="V372" s="6" t="s">
        <v>1011</v>
      </c>
      <c r="W372" s="6" t="s">
        <v>391</v>
      </c>
    </row>
    <row r="373" spans="1:23">
      <c r="A373" s="6">
        <v>370</v>
      </c>
      <c r="B373" s="7" t="s">
        <v>1824</v>
      </c>
      <c r="C373" s="7" t="s">
        <v>1825</v>
      </c>
      <c r="D373" s="6" t="s">
        <v>38</v>
      </c>
      <c r="E373" s="6" t="s">
        <v>1826</v>
      </c>
      <c r="F373" s="6" t="s">
        <v>83</v>
      </c>
      <c r="G373" s="6" t="s">
        <v>709</v>
      </c>
      <c r="H373" s="7" t="s">
        <v>1827</v>
      </c>
      <c r="I373" s="6" t="s">
        <v>137</v>
      </c>
      <c r="J373" s="6" t="s">
        <v>125</v>
      </c>
      <c r="K373" s="6">
        <v>40</v>
      </c>
      <c r="L373" s="6" t="s">
        <v>97</v>
      </c>
      <c r="M373" s="6" t="s">
        <v>17</v>
      </c>
      <c r="N373" s="6" t="s">
        <v>11</v>
      </c>
      <c r="O373" s="6" t="s">
        <v>41</v>
      </c>
      <c r="P373" s="6" t="s">
        <v>99</v>
      </c>
      <c r="Q373" s="6" t="s">
        <v>139</v>
      </c>
      <c r="R373" s="8">
        <v>0</v>
      </c>
      <c r="S373" s="8">
        <v>1.68</v>
      </c>
      <c r="T373" s="8">
        <v>6.12</v>
      </c>
      <c r="U373" s="8">
        <v>7.8</v>
      </c>
      <c r="V373" s="6" t="s">
        <v>716</v>
      </c>
      <c r="W373" s="6" t="s">
        <v>131</v>
      </c>
    </row>
    <row r="374" spans="1:23">
      <c r="A374" s="6">
        <v>371</v>
      </c>
      <c r="B374" s="7" t="s">
        <v>1828</v>
      </c>
      <c r="C374" s="7" t="s">
        <v>121</v>
      </c>
      <c r="D374" s="6" t="s">
        <v>22</v>
      </c>
      <c r="E374" s="6" t="s">
        <v>1829</v>
      </c>
      <c r="F374" s="6" t="s">
        <v>70</v>
      </c>
      <c r="G374" s="6" t="s">
        <v>1280</v>
      </c>
      <c r="H374" s="7" t="s">
        <v>1830</v>
      </c>
      <c r="I374" s="6" t="s">
        <v>73</v>
      </c>
      <c r="J374" s="6" t="s">
        <v>74</v>
      </c>
      <c r="K374" s="6">
        <v>400</v>
      </c>
      <c r="L374" s="6" t="s">
        <v>327</v>
      </c>
      <c r="M374" s="6" t="s">
        <v>8</v>
      </c>
      <c r="N374" s="6" t="s">
        <v>15</v>
      </c>
      <c r="O374" s="6" t="s">
        <v>29</v>
      </c>
      <c r="P374" s="6" t="s">
        <v>76</v>
      </c>
      <c r="Q374" s="6" t="s">
        <v>149</v>
      </c>
      <c r="R374" s="8">
        <v>3.4</v>
      </c>
      <c r="S374" s="8">
        <v>66.23</v>
      </c>
      <c r="T374" s="8">
        <v>0</v>
      </c>
      <c r="U374" s="8">
        <v>66.23</v>
      </c>
      <c r="V374" s="6" t="s">
        <v>121</v>
      </c>
      <c r="W374" s="6" t="s">
        <v>173</v>
      </c>
    </row>
    <row r="375" spans="1:23">
      <c r="A375" s="6">
        <v>372</v>
      </c>
      <c r="B375" s="7" t="s">
        <v>1831</v>
      </c>
      <c r="C375" s="7" t="s">
        <v>1832</v>
      </c>
      <c r="D375" s="6" t="s">
        <v>20</v>
      </c>
      <c r="E375" s="6" t="s">
        <v>1833</v>
      </c>
      <c r="F375" s="6" t="s">
        <v>83</v>
      </c>
      <c r="G375" s="6" t="s">
        <v>1524</v>
      </c>
      <c r="H375" s="7" t="s">
        <v>1834</v>
      </c>
      <c r="I375" s="6" t="s">
        <v>73</v>
      </c>
      <c r="J375" s="6" t="s">
        <v>125</v>
      </c>
      <c r="K375" s="6">
        <v>6</v>
      </c>
      <c r="L375" s="6" t="s">
        <v>138</v>
      </c>
      <c r="M375" s="6" t="s">
        <v>14</v>
      </c>
      <c r="N375" s="6" t="s">
        <v>11</v>
      </c>
      <c r="O375" s="6" t="s">
        <v>33</v>
      </c>
      <c r="P375" s="6" t="s">
        <v>76</v>
      </c>
      <c r="Q375" s="6" t="s">
        <v>149</v>
      </c>
      <c r="R375" s="8">
        <v>1.6</v>
      </c>
      <c r="S375" s="8">
        <v>65.91</v>
      </c>
      <c r="T375" s="8">
        <v>0</v>
      </c>
      <c r="U375" s="8">
        <v>65.91</v>
      </c>
      <c r="V375" s="6" t="s">
        <v>121</v>
      </c>
      <c r="W375" s="6" t="s">
        <v>110</v>
      </c>
    </row>
    <row r="376" spans="1:23" ht="22.35">
      <c r="A376" s="6">
        <v>373</v>
      </c>
      <c r="B376" s="7" t="s">
        <v>1835</v>
      </c>
      <c r="C376" s="7" t="s">
        <v>1836</v>
      </c>
      <c r="D376" s="6" t="s">
        <v>38</v>
      </c>
      <c r="E376" s="6" t="s">
        <v>1837</v>
      </c>
      <c r="F376" s="6" t="s">
        <v>83</v>
      </c>
      <c r="G376" s="6" t="s">
        <v>1838</v>
      </c>
      <c r="H376" s="7" t="s">
        <v>1839</v>
      </c>
      <c r="I376" s="6" t="s">
        <v>86</v>
      </c>
      <c r="J376" s="6" t="s">
        <v>125</v>
      </c>
      <c r="K376" s="6">
        <v>40</v>
      </c>
      <c r="L376" s="6" t="s">
        <v>116</v>
      </c>
      <c r="M376" s="6" t="s">
        <v>16</v>
      </c>
      <c r="N376" s="6" t="s">
        <v>13</v>
      </c>
      <c r="O376" s="6" t="s">
        <v>37</v>
      </c>
      <c r="P376" s="6" t="s">
        <v>76</v>
      </c>
      <c r="Q376" s="6" t="s">
        <v>149</v>
      </c>
      <c r="R376" s="8">
        <v>9.6</v>
      </c>
      <c r="S376" s="8">
        <v>324.31</v>
      </c>
      <c r="T376" s="8">
        <v>0</v>
      </c>
      <c r="U376" s="8">
        <v>324.31</v>
      </c>
      <c r="V376" s="6" t="s">
        <v>121</v>
      </c>
      <c r="W376" s="6" t="s">
        <v>207</v>
      </c>
    </row>
    <row r="377" spans="1:23">
      <c r="A377" s="6">
        <v>374</v>
      </c>
      <c r="B377" s="7" t="s">
        <v>1840</v>
      </c>
      <c r="C377" s="7" t="s">
        <v>121</v>
      </c>
      <c r="D377" s="6" t="s">
        <v>30</v>
      </c>
      <c r="E377" s="6" t="s">
        <v>1841</v>
      </c>
      <c r="F377" s="6" t="s">
        <v>83</v>
      </c>
      <c r="G377" s="6" t="s">
        <v>78</v>
      </c>
      <c r="H377" s="7" t="s">
        <v>1842</v>
      </c>
      <c r="I377" s="6" t="s">
        <v>73</v>
      </c>
      <c r="J377" s="6" t="s">
        <v>125</v>
      </c>
      <c r="K377" s="6">
        <v>40</v>
      </c>
      <c r="L377" s="6" t="s">
        <v>126</v>
      </c>
      <c r="M377" s="6" t="s">
        <v>8</v>
      </c>
      <c r="N377" s="6" t="s">
        <v>9</v>
      </c>
      <c r="O377" s="6" t="s">
        <v>25</v>
      </c>
      <c r="P377" s="6" t="s">
        <v>200</v>
      </c>
      <c r="Q377" s="6" t="s">
        <v>129</v>
      </c>
      <c r="R377" s="8">
        <v>12.2</v>
      </c>
      <c r="S377" s="8">
        <v>465.39</v>
      </c>
      <c r="T377" s="8">
        <v>0</v>
      </c>
      <c r="U377" s="8">
        <v>465.39</v>
      </c>
      <c r="V377" s="6" t="s">
        <v>121</v>
      </c>
      <c r="W377" s="6" t="s">
        <v>91</v>
      </c>
    </row>
    <row r="378" spans="1:23">
      <c r="A378" s="6">
        <v>375</v>
      </c>
      <c r="B378" s="7" t="s">
        <v>1843</v>
      </c>
      <c r="C378" s="7" t="s">
        <v>1844</v>
      </c>
      <c r="D378" s="6" t="s">
        <v>20</v>
      </c>
      <c r="E378" s="6" t="s">
        <v>1845</v>
      </c>
      <c r="F378" s="6" t="s">
        <v>83</v>
      </c>
      <c r="G378" s="6" t="s">
        <v>1846</v>
      </c>
      <c r="H378" s="7" t="s">
        <v>1847</v>
      </c>
      <c r="I378" s="6" t="s">
        <v>73</v>
      </c>
      <c r="J378" s="6" t="s">
        <v>74</v>
      </c>
      <c r="K378" s="6">
        <v>600</v>
      </c>
      <c r="L378" s="6" t="s">
        <v>163</v>
      </c>
      <c r="M378" s="6" t="s">
        <v>12</v>
      </c>
      <c r="N378" s="6" t="s">
        <v>9</v>
      </c>
      <c r="O378" s="6" t="s">
        <v>23</v>
      </c>
      <c r="P378" s="6" t="s">
        <v>178</v>
      </c>
      <c r="Q378" s="6" t="s">
        <v>179</v>
      </c>
      <c r="R378" s="8">
        <v>6.8</v>
      </c>
      <c r="S378" s="8">
        <v>150.88</v>
      </c>
      <c r="T378" s="8">
        <v>35.69</v>
      </c>
      <c r="U378" s="8">
        <v>186.57</v>
      </c>
      <c r="V378" s="6" t="s">
        <v>1848</v>
      </c>
      <c r="W378" s="6" t="s">
        <v>91</v>
      </c>
    </row>
    <row r="379" spans="1:23">
      <c r="A379" s="6">
        <v>376</v>
      </c>
      <c r="B379" s="7" t="s">
        <v>1849</v>
      </c>
      <c r="C379" s="7" t="s">
        <v>1850</v>
      </c>
      <c r="D379" s="6" t="s">
        <v>20</v>
      </c>
      <c r="E379" s="6" t="s">
        <v>1851</v>
      </c>
      <c r="F379" s="6" t="s">
        <v>83</v>
      </c>
      <c r="G379" s="6" t="s">
        <v>1852</v>
      </c>
      <c r="H379" s="7" t="s">
        <v>1853</v>
      </c>
      <c r="I379" s="6" t="s">
        <v>73</v>
      </c>
      <c r="J379" s="6" t="s">
        <v>125</v>
      </c>
      <c r="K379" s="6">
        <v>60</v>
      </c>
      <c r="L379" s="6" t="s">
        <v>218</v>
      </c>
      <c r="M379" s="6" t="s">
        <v>10</v>
      </c>
      <c r="N379" s="6" t="s">
        <v>13</v>
      </c>
      <c r="O379" s="6" t="s">
        <v>425</v>
      </c>
      <c r="P379" s="6" t="s">
        <v>172</v>
      </c>
      <c r="Q379" s="6" t="s">
        <v>149</v>
      </c>
      <c r="R379" s="8">
        <v>3.4</v>
      </c>
      <c r="S379" s="8">
        <v>116.52</v>
      </c>
      <c r="T379" s="8">
        <v>5.62</v>
      </c>
      <c r="U379" s="8">
        <v>122.14</v>
      </c>
      <c r="V379" s="6" t="s">
        <v>1854</v>
      </c>
      <c r="W379" s="6" t="s">
        <v>219</v>
      </c>
    </row>
    <row r="380" spans="1:23">
      <c r="A380" s="6">
        <v>377</v>
      </c>
      <c r="B380" s="7" t="s">
        <v>1855</v>
      </c>
      <c r="C380" s="7" t="s">
        <v>1856</v>
      </c>
      <c r="D380" s="6" t="s">
        <v>24</v>
      </c>
      <c r="E380" s="6" t="s">
        <v>1857</v>
      </c>
      <c r="F380" s="6" t="s">
        <v>83</v>
      </c>
      <c r="G380" s="6" t="s">
        <v>1858</v>
      </c>
      <c r="H380" s="7" t="s">
        <v>1859</v>
      </c>
      <c r="I380" s="6" t="s">
        <v>86</v>
      </c>
      <c r="J380" s="6" t="s">
        <v>74</v>
      </c>
      <c r="K380" s="6">
        <v>200</v>
      </c>
      <c r="L380" s="6" t="s">
        <v>116</v>
      </c>
      <c r="M380" s="6" t="s">
        <v>14</v>
      </c>
      <c r="N380" s="6" t="s">
        <v>13</v>
      </c>
      <c r="O380" s="6" t="s">
        <v>425</v>
      </c>
      <c r="P380" s="6" t="s">
        <v>200</v>
      </c>
      <c r="Q380" s="6" t="s">
        <v>129</v>
      </c>
      <c r="R380" s="8">
        <v>1</v>
      </c>
      <c r="S380" s="8">
        <v>36.82</v>
      </c>
      <c r="T380" s="8">
        <v>0</v>
      </c>
      <c r="U380" s="8">
        <v>36.82</v>
      </c>
      <c r="V380" s="6" t="s">
        <v>121</v>
      </c>
      <c r="W380" s="6" t="s">
        <v>131</v>
      </c>
    </row>
    <row r="381" spans="1:23">
      <c r="A381" s="6">
        <v>378</v>
      </c>
      <c r="B381" s="7" t="s">
        <v>1860</v>
      </c>
      <c r="C381" s="7" t="s">
        <v>1861</v>
      </c>
      <c r="D381" s="6" t="s">
        <v>26</v>
      </c>
      <c r="E381" s="6" t="s">
        <v>1862</v>
      </c>
      <c r="F381" s="6" t="s">
        <v>83</v>
      </c>
      <c r="G381" s="6" t="s">
        <v>1574</v>
      </c>
      <c r="H381" s="7" t="s">
        <v>1863</v>
      </c>
      <c r="I381" s="6" t="s">
        <v>137</v>
      </c>
      <c r="J381" s="6" t="s">
        <v>74</v>
      </c>
      <c r="K381" s="6">
        <v>200</v>
      </c>
      <c r="L381" s="6" t="s">
        <v>199</v>
      </c>
      <c r="M381" s="6" t="s">
        <v>12</v>
      </c>
      <c r="N381" s="6" t="s">
        <v>13</v>
      </c>
      <c r="O381" s="6" t="s">
        <v>37</v>
      </c>
      <c r="P381" s="6" t="s">
        <v>185</v>
      </c>
      <c r="Q381" s="6" t="s">
        <v>186</v>
      </c>
      <c r="R381" s="8">
        <v>0</v>
      </c>
      <c r="S381" s="8">
        <v>2.23</v>
      </c>
      <c r="T381" s="8">
        <v>26.07</v>
      </c>
      <c r="U381" s="8">
        <v>28.3</v>
      </c>
      <c r="V381" s="6" t="s">
        <v>1864</v>
      </c>
      <c r="W381" s="6" t="s">
        <v>317</v>
      </c>
    </row>
    <row r="382" spans="1:23" ht="22.35">
      <c r="A382" s="6">
        <v>379</v>
      </c>
      <c r="B382" s="7" t="s">
        <v>1865</v>
      </c>
      <c r="C382" s="7" t="s">
        <v>1866</v>
      </c>
      <c r="D382" s="6" t="s">
        <v>20</v>
      </c>
      <c r="E382" s="6" t="s">
        <v>1867</v>
      </c>
      <c r="F382" s="6" t="s">
        <v>83</v>
      </c>
      <c r="G382" s="6" t="s">
        <v>716</v>
      </c>
      <c r="H382" s="7" t="s">
        <v>1868</v>
      </c>
      <c r="I382" s="6" t="s">
        <v>137</v>
      </c>
      <c r="J382" s="6" t="s">
        <v>74</v>
      </c>
      <c r="K382" s="6">
        <v>600</v>
      </c>
      <c r="L382" s="6" t="s">
        <v>97</v>
      </c>
      <c r="M382" s="6" t="s">
        <v>16</v>
      </c>
      <c r="N382" s="6" t="s">
        <v>9</v>
      </c>
      <c r="O382" s="6" t="s">
        <v>29</v>
      </c>
      <c r="P382" s="6" t="s">
        <v>178</v>
      </c>
      <c r="Q382" s="6" t="s">
        <v>179</v>
      </c>
      <c r="R382" s="8">
        <v>0</v>
      </c>
      <c r="S382" s="8">
        <v>1.1599999999999999</v>
      </c>
      <c r="T382" s="8">
        <v>0</v>
      </c>
      <c r="U382" s="8">
        <v>1.1599999999999999</v>
      </c>
      <c r="V382" s="6" t="s">
        <v>121</v>
      </c>
      <c r="W382" s="6" t="s">
        <v>291</v>
      </c>
    </row>
    <row r="383" spans="1:23">
      <c r="A383" s="6">
        <v>380</v>
      </c>
      <c r="B383" s="7" t="s">
        <v>1869</v>
      </c>
      <c r="C383" s="7" t="s">
        <v>121</v>
      </c>
      <c r="D383" s="6" t="s">
        <v>26</v>
      </c>
      <c r="E383" s="6" t="s">
        <v>1870</v>
      </c>
      <c r="F383" s="6" t="s">
        <v>70</v>
      </c>
      <c r="G383" s="6" t="s">
        <v>1491</v>
      </c>
      <c r="H383" s="7" t="s">
        <v>1871</v>
      </c>
      <c r="I383" s="6" t="s">
        <v>137</v>
      </c>
      <c r="J383" s="6" t="s">
        <v>74</v>
      </c>
      <c r="K383" s="6">
        <v>600</v>
      </c>
      <c r="L383" s="6" t="s">
        <v>126</v>
      </c>
      <c r="M383" s="6" t="s">
        <v>8</v>
      </c>
      <c r="N383" s="6" t="s">
        <v>9</v>
      </c>
      <c r="O383" s="6" t="s">
        <v>23</v>
      </c>
      <c r="P383" s="6" t="s">
        <v>256</v>
      </c>
      <c r="Q383" s="6" t="s">
        <v>149</v>
      </c>
      <c r="R383" s="8">
        <v>0</v>
      </c>
      <c r="S383" s="8">
        <v>0.99</v>
      </c>
      <c r="T383" s="8">
        <v>0</v>
      </c>
      <c r="U383" s="8">
        <v>0.99</v>
      </c>
      <c r="V383" s="6" t="s">
        <v>121</v>
      </c>
      <c r="W383" s="6" t="s">
        <v>291</v>
      </c>
    </row>
  </sheetData>
  <autoFilter ref="A3:W383" xr:uid="{00000000-0009-0000-0000-000001000000}"/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13C9E-18BC-4E0C-9608-3B32689825B2}"/>
</file>

<file path=customXml/itemProps2.xml><?xml version="1.0" encoding="utf-8"?>
<ds:datastoreItem xmlns:ds="http://schemas.openxmlformats.org/officeDocument/2006/customXml" ds:itemID="{C6D0D37C-ABA9-4CAB-8168-D50FD133409E}"/>
</file>

<file path=customXml/itemProps3.xml><?xml version="1.0" encoding="utf-8"?>
<ds:datastoreItem xmlns:ds="http://schemas.openxmlformats.org/officeDocument/2006/customXml" ds:itemID="{FDBAA7E8-28B8-4E80-86BD-324D0C2B7FA9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Satria Bintang Adyatma Putra - TEC</cp:lastModifiedBy>
  <cp:revision>0</cp:revision>
  <dcterms:created xsi:type="dcterms:W3CDTF">2026-07-30T08:48:46Z</dcterms:created>
  <dcterms:modified xsi:type="dcterms:W3CDTF">2026-07-30T09:06:00Z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